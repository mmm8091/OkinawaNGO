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10857\AppData\Local\Temp\okinawa_ngo_excel_qa\"/>
    </mc:Choice>
  </mc:AlternateContent>
  <xr:revisionPtr revIDLastSave="0" documentId="13_ncr:1_{BE3091F5-1FB8-4F56-8F5A-1E03DACD3A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verview" sheetId="1" r:id="rId1"/>
    <sheet name="Actors" sheetId="2" r:id="rId2"/>
    <sheet name="Issues" sheetId="3" r:id="rId3"/>
    <sheet name="Places" sheetId="4" r:id="rId4"/>
    <sheet name="Actor-Issue" sheetId="5" r:id="rId5"/>
    <sheet name="Actor-Place" sheetId="6" r:id="rId6"/>
    <sheet name="Events" sheetId="7" r:id="rId7"/>
    <sheet name="Typed Relations" sheetId="8" r:id="rId8"/>
    <sheet name="Legal Cases" sheetId="9" r:id="rId9"/>
    <sheet name="Legal Roles" sheetId="10" r:id="rId10"/>
    <sheet name="Sources" sheetId="11" r:id="rId11"/>
  </sheets>
  <definedNames>
    <definedName name="_xlnm.Print_Area" localSheetId="4">'Actor-Issue'!$A$1:$N$28</definedName>
    <definedName name="_xlnm.Print_Area" localSheetId="5">'Actor-Place'!$A$1:$L$28</definedName>
    <definedName name="_xlnm.Print_Area" localSheetId="1">Actors!$A$1:$K$28</definedName>
    <definedName name="_xlnm.Print_Area" localSheetId="6">Events!$A$1:$O$28</definedName>
    <definedName name="_xlnm.Print_Area" localSheetId="2">Issues!$A$1:$E$28</definedName>
    <definedName name="_xlnm.Print_Area" localSheetId="8">'Legal Cases'!$A$1:$O$10</definedName>
    <definedName name="_xlnm.Print_Area" localSheetId="9">'Legal Roles'!$A$1:$N$28</definedName>
    <definedName name="_xlnm.Print_Area" localSheetId="0">Overview!$A$1:$H$35</definedName>
    <definedName name="_xlnm.Print_Area" localSheetId="3">Places!$A$1:$F$25</definedName>
    <definedName name="_xlnm.Print_Area" localSheetId="10">Sources!$A$1:$I$28</definedName>
    <definedName name="_xlnm.Print_Area" localSheetId="7">'Typed Relations'!$A$1:$S$28</definedName>
    <definedName name="_xlnm.Print_Titles" localSheetId="4">'Actor-Issue'!$1:$4</definedName>
    <definedName name="_xlnm.Print_Titles" localSheetId="5">'Actor-Place'!$1:$4</definedName>
    <definedName name="_xlnm.Print_Titles" localSheetId="1">Actors!$1:$4</definedName>
    <definedName name="_xlnm.Print_Titles" localSheetId="6">Events!$1:$4</definedName>
    <definedName name="_xlnm.Print_Titles" localSheetId="2">Issues!$1:$4</definedName>
    <definedName name="_xlnm.Print_Titles" localSheetId="8">'Legal Cases'!$1:$4</definedName>
    <definedName name="_xlnm.Print_Titles" localSheetId="9">'Legal Roles'!$1:$4</definedName>
    <definedName name="_xlnm.Print_Titles" localSheetId="3">Places!$1:$4</definedName>
    <definedName name="_xlnm.Print_Titles" localSheetId="10">Sources!$1:$4</definedName>
    <definedName name="_xlnm.Print_Titles" localSheetId="7">'Typed Relations'!$1:$4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1" l="1"/>
  <c r="B28" i="1"/>
  <c r="B27" i="1"/>
  <c r="B26" i="1"/>
  <c r="B25" i="1"/>
  <c r="B17" i="1"/>
  <c r="B16" i="1"/>
  <c r="G10" i="1"/>
  <c r="E10" i="1"/>
  <c r="C10" i="1"/>
  <c r="A10" i="1"/>
  <c r="G6" i="1"/>
  <c r="E6" i="1"/>
  <c r="C6" i="1"/>
  <c r="A6" i="1"/>
</calcChain>
</file>

<file path=xl/sharedStrings.xml><?xml version="1.0" encoding="utf-8"?>
<sst xmlns="http://schemas.openxmlformats.org/spreadsheetml/2006/main" count="11611" uniqueCount="3145">
  <si>
    <t>Okinawa NGO / Civic Organization Database</t>
  </si>
  <si>
    <t>English presentation edition · Phase 1 online evidence layer · Data status: 20 July 2026</t>
  </si>
  <si>
    <t>Active Actors</t>
  </si>
  <si>
    <t>Sources</t>
  </si>
  <si>
    <t>Actor–Issue Records</t>
  </si>
  <si>
    <t>Actor–Place Records</t>
  </si>
  <si>
    <t>Event Records</t>
  </si>
  <si>
    <t>Typed Relations</t>
  </si>
  <si>
    <t>Legal Cases</t>
  </si>
  <si>
    <t>Place Nodes</t>
  </si>
  <si>
    <t>Actor–Issue Review Split</t>
  </si>
  <si>
    <t>Layer</t>
  </si>
  <si>
    <t>Records</t>
  </si>
  <si>
    <t>Reviewed</t>
  </si>
  <si>
    <t>Research</t>
  </si>
  <si>
    <t>Largest Actor Categories</t>
  </si>
  <si>
    <t>Category</t>
  </si>
  <si>
    <t>Actors</t>
  </si>
  <si>
    <t>Citizen network</t>
  </si>
  <si>
    <t>Citizen group</t>
  </si>
  <si>
    <t>International NGO</t>
  </si>
  <si>
    <t>Domestic Japan NGO</t>
  </si>
  <si>
    <t>International advocacy actor</t>
  </si>
  <si>
    <t>How to Read the Workbook</t>
  </si>
  <si>
    <t>• English organization names are working presentation translations; Actor IDs remain the authoritative crosswalk to the source registry.</t>
  </si>
  <si>
    <t>• Reviewed and research-layer records are shown separately; evidence level alone does not equal human approval.</t>
  </si>
  <si>
    <t>• Co-signing, a joint statement, or shared event participation is not treated as a stable alliance.</t>
  </si>
  <si>
    <t>• Funding opportunities, project costs, sponsorship tiers, and confirmed transfers are distinct observation types.</t>
  </si>
  <si>
    <t>• Place visibility and network degree describe the collected public record, not real-world influence or activity intensity.</t>
  </si>
  <si>
    <t>Current Actor Registry</t>
  </si>
  <si>
    <t>121 active civic, NGO, service, institutional, and intermediary actors. One merged provenance tombstone is excluded.</t>
  </si>
  <si>
    <t>Actor ID</t>
  </si>
  <si>
    <t>English Name</t>
  </si>
  <si>
    <t>Actor Category</t>
  </si>
  <si>
    <t>Origin</t>
  </si>
  <si>
    <t>Legal Status</t>
  </si>
  <si>
    <t>Primary Places</t>
  </si>
  <si>
    <t>Issue Tags</t>
  </si>
  <si>
    <t>Evidence Level</t>
  </si>
  <si>
    <t>Review Status</t>
  </si>
  <si>
    <t>Scope Status</t>
  </si>
  <si>
    <t>Source IDs</t>
  </si>
  <si>
    <t>A001</t>
  </si>
  <si>
    <t>Okinawa Environmental Justice Project</t>
  </si>
  <si>
    <t>Mixed/network</t>
  </si>
  <si>
    <t>Legal Form Unresolved</t>
  </si>
  <si>
    <t>Henoko/Oura Bay; international</t>
  </si>
  <si>
    <t>Environment; Dugong protection; Henoko; International advocacy</t>
  </si>
  <si>
    <t>E4</t>
  </si>
  <si>
    <t>AI-seeded</t>
  </si>
  <si>
    <t>Current</t>
  </si>
  <si>
    <t>S006; S007; S008</t>
  </si>
  <si>
    <t>A002</t>
  </si>
  <si>
    <t>Save the Dugong Campaign Center</t>
  </si>
  <si>
    <t>Japan domestic</t>
  </si>
  <si>
    <t>Informal Association</t>
  </si>
  <si>
    <t>Henoko/Oura Bay</t>
  </si>
  <si>
    <t>Dugong protection; Environment; International advocacy</t>
  </si>
  <si>
    <t>Human-revised</t>
  </si>
  <si>
    <t>S007; S057; S058; S059</t>
  </si>
  <si>
    <t>A003</t>
  </si>
  <si>
    <t>Okinawa Dugong Network</t>
  </si>
  <si>
    <t>Local civic actor</t>
  </si>
  <si>
    <t>Okinawa local</t>
  </si>
  <si>
    <t>Okinawa; Henoko/Oura Bay</t>
  </si>
  <si>
    <t>Dugong protection; Environment; Henoko</t>
  </si>
  <si>
    <t>E3</t>
  </si>
  <si>
    <t>Needs second source</t>
  </si>
  <si>
    <t>S003</t>
  </si>
  <si>
    <t>A004</t>
  </si>
  <si>
    <t>Nature Conservation Society of Japan (NACS-J)</t>
  </si>
  <si>
    <t>Public Interest Incorporated Body Unspecified</t>
  </si>
  <si>
    <t>Japan; Henoko/Oura Bay</t>
  </si>
  <si>
    <t>Environment; Biodiversity; Henoko</t>
  </si>
  <si>
    <t>S004</t>
  </si>
  <si>
    <t>A005</t>
  </si>
  <si>
    <t>WWF Japan</t>
  </si>
  <si>
    <t>Public Interest Incorporated Foundation</t>
  </si>
  <si>
    <t>Environment; Dugong protection; Biodiversity</t>
  </si>
  <si>
    <t>A006</t>
  </si>
  <si>
    <t>Greenpeace Japan</t>
  </si>
  <si>
    <t>Nongovernmental Nonprofit</t>
  </si>
  <si>
    <t>Environment; Anti-base</t>
  </si>
  <si>
    <t>A007</t>
  </si>
  <si>
    <t>Peace Boat</t>
  </si>
  <si>
    <t>Nonprofit Form Unresolved</t>
  </si>
  <si>
    <t>Japan; international</t>
  </si>
  <si>
    <t>Peace; Anti-base; Environment; International advocacy</t>
  </si>
  <si>
    <t>S005</t>
  </si>
  <si>
    <t>A008</t>
  </si>
  <si>
    <t>NGO Nonwar Network</t>
  </si>
  <si>
    <t>Informal Network</t>
  </si>
  <si>
    <t>Japan; Okinawa(statement/solidarity context)</t>
  </si>
  <si>
    <t>Peace; Anti-war; Anti-base; Referendum; International cooperation</t>
  </si>
  <si>
    <t>S064; S065; S066; S067</t>
  </si>
  <si>
    <t>A009</t>
  </si>
  <si>
    <t>Earthjustice</t>
  </si>
  <si>
    <t>U.S. origin</t>
  </si>
  <si>
    <t>United States; Henoko/Oura Bay</t>
  </si>
  <si>
    <t>Legal procedure; Dugong protection; International advocacy</t>
  </si>
  <si>
    <t>S009</t>
  </si>
  <si>
    <t>A010</t>
  </si>
  <si>
    <t>Ishigaki Citizens' Liaison Council Against Military Base Construction</t>
  </si>
  <si>
    <t>Ishigaki</t>
  </si>
  <si>
    <t>Anti-militarization; Referendum; Environment; Groundwater &amp; water source; Life safety</t>
  </si>
  <si>
    <t>S016; S017; S157; S159</t>
  </si>
  <si>
    <t>A011</t>
  </si>
  <si>
    <t>Association Seeking an Ishigaki City Referendum</t>
  </si>
  <si>
    <t>Referendum; Local autonomy; Anti-militarization</t>
  </si>
  <si>
    <t>Human-checked</t>
  </si>
  <si>
    <t>S018; S019; S137; S138</t>
  </si>
  <si>
    <t>A012</t>
  </si>
  <si>
    <t>Protect Miyako Island's Life-Giving Water!</t>
  </si>
  <si>
    <t>Miyako</t>
  </si>
  <si>
    <t>Groundwater &amp; water source; Environment; Anti-militarization; Life safety</t>
  </si>
  <si>
    <t>S020</t>
  </si>
  <si>
    <t>A013</t>
  </si>
  <si>
    <t>Miyako Island Residents' Liaison Council Against a Missile Base</t>
  </si>
  <si>
    <t>Anti-militarization; Missile; Groundwater &amp; water source; Life safety</t>
  </si>
  <si>
    <t>S021</t>
  </si>
  <si>
    <t>A014</t>
  </si>
  <si>
    <t>Executive Committee for a Successful Referendum</t>
  </si>
  <si>
    <t>Executive committee</t>
  </si>
  <si>
    <t>Informal Executive Committee</t>
  </si>
  <si>
    <t>Yonaguni</t>
  </si>
  <si>
    <t>Referendum; Local autonomy; Anti-militarization; Public Opinion</t>
  </si>
  <si>
    <t>E2</t>
  </si>
  <si>
    <t>Needs local retrieval</t>
  </si>
  <si>
    <t>S010; S069; S070; S071</t>
  </si>
  <si>
    <t>A015</t>
  </si>
  <si>
    <t>Yonaguni Opinion Advertisement Committee Opposing SDF Deployment</t>
  </si>
  <si>
    <t>Yaeyama; Ishigaki; Yonaguni(solidarity target)</t>
  </si>
  <si>
    <t>Anti-militarization; Public Opinion; Referendum; Solidarity</t>
  </si>
  <si>
    <t>S015</t>
  </si>
  <si>
    <t>A016</t>
  </si>
  <si>
    <t>Isoba Association for a Bright Future for Yonaguni Island</t>
  </si>
  <si>
    <t>Anti-militarization; Health risk; Life safety; Ammunition; Transparency; Frontline prevention</t>
  </si>
  <si>
    <t>S011; S052; S068</t>
  </si>
  <si>
    <t>A017</t>
  </si>
  <si>
    <t>Okinawa Dialogue Project</t>
  </si>
  <si>
    <t>Okinawa; Ryukyu arc</t>
  </si>
  <si>
    <t>Dialogue; Anti-war; Taiwan contingency; Frontline prevention</t>
  </si>
  <si>
    <t>S022</t>
  </si>
  <si>
    <t>A018</t>
  </si>
  <si>
    <t>No More Battle of Okinawa – Nuchi du Takara Association</t>
  </si>
  <si>
    <t>Legal Form Unresolved Citizen Group</t>
  </si>
  <si>
    <t>Anti-war; Frontline prevention; Taiwan contingency</t>
  </si>
  <si>
    <t>S023</t>
  </si>
  <si>
    <t>A019</t>
  </si>
  <si>
    <t>Council Opposing the Heliport Base</t>
  </si>
  <si>
    <t>Henoko; Nago</t>
  </si>
  <si>
    <t>Anti-base; Henoko; Direct Action; Referendum</t>
  </si>
  <si>
    <t>S008; S049; S050</t>
  </si>
  <si>
    <t>A020</t>
  </si>
  <si>
    <t>Japan Environmental Lawyers Federation (JELF)</t>
  </si>
  <si>
    <t>Lawyers network</t>
  </si>
  <si>
    <t>Environmental Law; Legal procedure; Dugong protection; Henoko</t>
  </si>
  <si>
    <t>S006; S007</t>
  </si>
  <si>
    <t>A021</t>
  </si>
  <si>
    <t>Friends of the Earth Japan</t>
  </si>
  <si>
    <t>Environment; Anti-base; International advocacy</t>
  </si>
  <si>
    <t>A022</t>
  </si>
  <si>
    <t>Ramsar Network Japan</t>
  </si>
  <si>
    <t>Specified Nonprofit Corporation</t>
  </si>
  <si>
    <t>Environment; Biodiversity; Wetlands; Anti-base</t>
  </si>
  <si>
    <t>A023</t>
  </si>
  <si>
    <t>Citizens Against Bases in Churaumi and Yanbaru</t>
  </si>
  <si>
    <t>Okinawa; Henoko/Oura Bay; Yanbaru</t>
  </si>
  <si>
    <t>Anti-base; Environment; Henoko</t>
  </si>
  <si>
    <t>A024</t>
  </si>
  <si>
    <t>Henoko Relay</t>
  </si>
  <si>
    <t>Henoko; Okinawa; Japan</t>
  </si>
  <si>
    <t>Anti-base; Henoko; Mobilization</t>
  </si>
  <si>
    <t>A025</t>
  </si>
  <si>
    <t>Executive Committee Against Base Construction in Henoko</t>
  </si>
  <si>
    <t>Henoko; Nago; Okinawa</t>
  </si>
  <si>
    <t>A026</t>
  </si>
  <si>
    <t>Peace News</t>
  </si>
  <si>
    <t>Japan; Okinawa</t>
  </si>
  <si>
    <t>Peace; Anti-base; Media</t>
  </si>
  <si>
    <t>A027</t>
  </si>
  <si>
    <t>Citizens' Council for Public Works Reform</t>
  </si>
  <si>
    <t>Public Works; Environment; Anti-base</t>
  </si>
  <si>
    <t>A028</t>
  </si>
  <si>
    <t>Japan–U.S. Citizens for Okinawa Network (JUCON)</t>
  </si>
  <si>
    <t>Legal Form Unresolved Network</t>
  </si>
  <si>
    <t>Japan; United States; Okinawa</t>
  </si>
  <si>
    <t>Anti-base; International advocacy; Henoko</t>
  </si>
  <si>
    <t>A029</t>
  </si>
  <si>
    <t>Okinawa Biodiversity Citizens' Network</t>
  </si>
  <si>
    <t>Biodiversity; Environment; Henoko</t>
  </si>
  <si>
    <t>A030</t>
  </si>
  <si>
    <t>Association to Protect Ichikawa Sanbanze</t>
  </si>
  <si>
    <t>Environment; Wetlands; Solidarity</t>
  </si>
  <si>
    <t>A031</t>
  </si>
  <si>
    <t>Association for Ramsar Designation of Sanbanze</t>
  </si>
  <si>
    <t>A032</t>
  </si>
  <si>
    <t>Peace Philosophy Centre</t>
  </si>
  <si>
    <t>International</t>
  </si>
  <si>
    <t>Canada; Japan; Okinawa</t>
  </si>
  <si>
    <t>Peace; Anti-base; International advocacy</t>
  </si>
  <si>
    <t>A033</t>
  </si>
  <si>
    <t>Friends of the Earth U.S.</t>
  </si>
  <si>
    <t>A034</t>
  </si>
  <si>
    <t>Korea Federation for Environmental Movements (KFEM)</t>
  </si>
  <si>
    <t>Korea; Henoko/Oura Bay</t>
  </si>
  <si>
    <t>Environment; International advocacy</t>
  </si>
  <si>
    <t>A035</t>
  </si>
  <si>
    <t>Russian Social Ecological Union</t>
  </si>
  <si>
    <t>Russia; Henoko/Oura Bay</t>
  </si>
  <si>
    <t>A036</t>
  </si>
  <si>
    <t>Friends of the Siberian Forests</t>
  </si>
  <si>
    <t>A037</t>
  </si>
  <si>
    <t>Centre for Environmental Justice</t>
  </si>
  <si>
    <t>Sri Lanka; Henoko/Oura Bay</t>
  </si>
  <si>
    <t>A038</t>
  </si>
  <si>
    <t>Sahabat Alam Malaysia</t>
  </si>
  <si>
    <t>Malaysia; Henoko/Oura Bay</t>
  </si>
  <si>
    <t>A039</t>
  </si>
  <si>
    <t>The Legal Rights and Natural Resources Center-Kasama sa Kalikasan</t>
  </si>
  <si>
    <t>Philippines; Henoko/Oura Bay</t>
  </si>
  <si>
    <t>Environment; Legal procedure; International advocacy</t>
  </si>
  <si>
    <t>A040</t>
  </si>
  <si>
    <t>Forum for Protection of Public Interest (Pro Public)</t>
  </si>
  <si>
    <t>Nepal; Henoko/Oura Bay</t>
  </si>
  <si>
    <t>S004; S089; S090</t>
  </si>
  <si>
    <t>A041</t>
  </si>
  <si>
    <t>Friends of the Earth Brisbane</t>
  </si>
  <si>
    <t>Australia; Henoko/Oura Bay</t>
  </si>
  <si>
    <t>A042</t>
  </si>
  <si>
    <t>Pacific Environment</t>
  </si>
  <si>
    <t>United States; Pacific; Henoko/Oura Bay</t>
  </si>
  <si>
    <t>A043</t>
  </si>
  <si>
    <t>PENGON-FoE Palestine</t>
  </si>
  <si>
    <t>Palestine; Henoko/Oura Bay</t>
  </si>
  <si>
    <t>A044</t>
  </si>
  <si>
    <t>Naturvernforbundet / Norwegian Society for the Conservation of Nature</t>
  </si>
  <si>
    <t>Norway; Henoko/Oura Bay</t>
  </si>
  <si>
    <t>A045</t>
  </si>
  <si>
    <t>Center for Biological Diversity</t>
  </si>
  <si>
    <t>Biodiversity; Legal procedure; International advocacy</t>
  </si>
  <si>
    <t>A046</t>
  </si>
  <si>
    <t>Pro Natura</t>
  </si>
  <si>
    <t>Switzerland; Henoko/Oura Bay</t>
  </si>
  <si>
    <t>Environment; International advocacy; Biodiversity</t>
  </si>
  <si>
    <t>S004; S091; S092</t>
  </si>
  <si>
    <t>A047</t>
  </si>
  <si>
    <t>Okinawa Peace Movement Center</t>
  </si>
  <si>
    <t>Legal Form Unresolved Social Movement Center</t>
  </si>
  <si>
    <t>Okinawa</t>
  </si>
  <si>
    <t>Anti-base; Peace; Anti-militarization; Henoko; Local autonomy</t>
  </si>
  <si>
    <t>S031</t>
  </si>
  <si>
    <t>A048</t>
  </si>
  <si>
    <t>Okinawa One-Tsubo Antiwar Landowners Association</t>
  </si>
  <si>
    <t>Anti-base; Legal procedure; Peace; Local autonomy</t>
  </si>
  <si>
    <t>A049</t>
  </si>
  <si>
    <t>Okinawa Women Act Against Military Violence</t>
  </si>
  <si>
    <t>Human rights; Anti-base; Anti-militarization; Life safety</t>
  </si>
  <si>
    <t>S039</t>
  </si>
  <si>
    <t>A050</t>
  </si>
  <si>
    <t>Okinawa Bar Association</t>
  </si>
  <si>
    <t>Professional Association</t>
  </si>
  <si>
    <t>Legal procedure; Human rights; Anti-base; Local autonomy</t>
  </si>
  <si>
    <t>S037</t>
  </si>
  <si>
    <t>A051</t>
  </si>
  <si>
    <t>Henoko Prefectural Referendum Association</t>
  </si>
  <si>
    <t>Okinawa; Henoko</t>
  </si>
  <si>
    <t>Referendum; Henoko; Local autonomy; Anti-base</t>
  </si>
  <si>
    <t>S025</t>
  </si>
  <si>
    <t>A052</t>
  </si>
  <si>
    <t>Kadena Air Base Noise Injunction Plaintiffs Association</t>
  </si>
  <si>
    <t>Litigation Group</t>
  </si>
  <si>
    <t>Kadena; Okinawa</t>
  </si>
  <si>
    <t>Legal procedure; Life safety; Noise; Anti-base</t>
  </si>
  <si>
    <t>S026; S149; S151; S155</t>
  </si>
  <si>
    <t>A053</t>
  </si>
  <si>
    <t>Futenma Air Base Noise Litigation Association</t>
  </si>
  <si>
    <t>Futenma; Ginowan</t>
  </si>
  <si>
    <t>S027; S135; S136; S156</t>
  </si>
  <si>
    <t>A054</t>
  </si>
  <si>
    <t>Okinawa Human Rights Association</t>
  </si>
  <si>
    <t>Legal Form Unresolved Association</t>
  </si>
  <si>
    <t>Human rights; Anti-base; Legal procedure</t>
  </si>
  <si>
    <t>S033</t>
  </si>
  <si>
    <t>A055</t>
  </si>
  <si>
    <t>Liaison Council to Protect the Awase Tidal Flat</t>
  </si>
  <si>
    <t>Okinawa; Awase</t>
  </si>
  <si>
    <t>Environment; Biodiversity; Legal procedure</t>
  </si>
  <si>
    <t>S030</t>
  </si>
  <si>
    <t>A056</t>
  </si>
  <si>
    <t>Okinawa Environmental Network</t>
  </si>
  <si>
    <t>Environment; Biodiversity; Anti-base</t>
  </si>
  <si>
    <t>A057</t>
  </si>
  <si>
    <t>Okinawa Opinion Advertisement Movement</t>
  </si>
  <si>
    <t>Okinawa; Japan</t>
  </si>
  <si>
    <t>Anti-base; Peace; Henoko; Public Opinion</t>
  </si>
  <si>
    <t>S034</t>
  </si>
  <si>
    <t>A058</t>
  </si>
  <si>
    <t>Okinawa Unified Action Liaison Council for Abolishing the Security Treaty and Defending Livelihoods and Democracy</t>
  </si>
  <si>
    <t>Anti-base; Peace; Anti-militarization</t>
  </si>
  <si>
    <t>A059</t>
  </si>
  <si>
    <t>All-Okinawa Council to Realize the Kenpakusho and Open the Future</t>
  </si>
  <si>
    <t>Anti-base; Henoko; Local autonomy</t>
  </si>
  <si>
    <t>S029</t>
  </si>
  <si>
    <t>A060</t>
  </si>
  <si>
    <t>Residents' Association Against Helipads in Takae</t>
  </si>
  <si>
    <t>Takae; Yanbaru; Okinawa</t>
  </si>
  <si>
    <t>Anti-base; Environment; Biodiversity</t>
  </si>
  <si>
    <t>S028</t>
  </si>
  <si>
    <t>A061</t>
  </si>
  <si>
    <t>Wild Bird Society of Japan</t>
  </si>
  <si>
    <t>Environment; Biodiversity</t>
  </si>
  <si>
    <t>S003; S004</t>
  </si>
  <si>
    <t>A062</t>
  </si>
  <si>
    <t>Japan Wetlands Action Network (JAWAN)</t>
  </si>
  <si>
    <t>Japan</t>
  </si>
  <si>
    <t>Environment; Biodiversity; Wetlands</t>
  </si>
  <si>
    <t>A063</t>
  </si>
  <si>
    <t>Kanto Bloc of the One-Tsubo Antiwar Landowners Association</t>
  </si>
  <si>
    <t>Tokyo; Kanto; Okinawa</t>
  </si>
  <si>
    <t>Anti-base; Peace; Legal procedure; Solidarity</t>
  </si>
  <si>
    <t>S038</t>
  </si>
  <si>
    <t>A064</t>
  </si>
  <si>
    <t>International Network for the Abolition of Foreign Military Bases (No Bases Network)</t>
  </si>
  <si>
    <t>international; Okinawa</t>
  </si>
  <si>
    <t>Anti-base; International advocacy; Peace</t>
  </si>
  <si>
    <t>A065</t>
  </si>
  <si>
    <t>Nansei Islands Peace Network</t>
  </si>
  <si>
    <t>Okinawa; Sakishima; Ryukyu arc</t>
  </si>
  <si>
    <t>Anti-militarization; Peace; Frontline prevention; Taiwan contingency</t>
  </si>
  <si>
    <t>S036</t>
  </si>
  <si>
    <t>A066</t>
  </si>
  <si>
    <t>New Diplomacy Initiative (ND)</t>
  </si>
  <si>
    <t>Legal procedure; Local autonomy; Anti-base; International advocacy</t>
  </si>
  <si>
    <t>S032</t>
  </si>
  <si>
    <t>A067</t>
  </si>
  <si>
    <t>National Liaison Council Against Henoko Soil Extraction</t>
  </si>
  <si>
    <t>Japan; Henoko; Okinawa</t>
  </si>
  <si>
    <t>Anti-base; Henoko; Environment</t>
  </si>
  <si>
    <t>S040</t>
  </si>
  <si>
    <t>A068</t>
  </si>
  <si>
    <t>Nago Citizens' Referendum Promotion Council on Heliport Base Construction</t>
  </si>
  <si>
    <t>Nago</t>
  </si>
  <si>
    <t>Referendum; Henoko; Anti-base; Local autonomy</t>
  </si>
  <si>
    <t>S042</t>
  </si>
  <si>
    <t>A069</t>
  </si>
  <si>
    <t>Okinawa Dugong Environmental Assessment Watch Group</t>
  </si>
  <si>
    <t>Dugong protection; Environment; Legal procedure; Henoko</t>
  </si>
  <si>
    <t>S047</t>
  </si>
  <si>
    <t>A070</t>
  </si>
  <si>
    <t>Veterans For Peace Ryukyu/Okinawa Chapter Kokusai (VFP-ROCK)</t>
  </si>
  <si>
    <t>Organizational Chapter</t>
  </si>
  <si>
    <t>Okinawa; United States</t>
  </si>
  <si>
    <t>S048</t>
  </si>
  <si>
    <t>A071</t>
  </si>
  <si>
    <t>Citizens' Liaison Council for Removing Bases from Okinawa and Seeking World Peace</t>
  </si>
  <si>
    <t>Peace; Anti-base; Anti-militarization</t>
  </si>
  <si>
    <t>A073</t>
  </si>
  <si>
    <t>Ryukyu–Okinawa International Support Program</t>
  </si>
  <si>
    <t>Local international-cooperation NGO</t>
  </si>
  <si>
    <t>International cooperation; Public diplomacy</t>
  </si>
  <si>
    <t>A074</t>
  </si>
  <si>
    <t>Okinawa Prefectural Government, Base Affairs Division</t>
  </si>
  <si>
    <t>Public institution partner</t>
  </si>
  <si>
    <t>Public institution</t>
  </si>
  <si>
    <t>Government Office</t>
  </si>
  <si>
    <t>Administrative Collaboration; Anti-base; Local autonomy</t>
  </si>
  <si>
    <t>S043</t>
  </si>
  <si>
    <t>A075</t>
  </si>
  <si>
    <t>Okinawa Defense Bureau</t>
  </si>
  <si>
    <t>Administrative Collaboration; Anti-base</t>
  </si>
  <si>
    <t>A076</t>
  </si>
  <si>
    <t>Save the Dugong Foundation</t>
  </si>
  <si>
    <t>Informal Association Pending Legal Check</t>
  </si>
  <si>
    <t>S060; S061; S062; S063</t>
  </si>
  <si>
    <t>A086</t>
  </si>
  <si>
    <t>Turtle Island Restoration Network</t>
  </si>
  <si>
    <t>Biodiversity; Dugong protection; Legal procedure; International advocacy</t>
  </si>
  <si>
    <t>S060; S093</t>
  </si>
  <si>
    <t>A087</t>
  </si>
  <si>
    <t>Association Proposing a Global Cornerstone of Peace</t>
  </si>
  <si>
    <t>Local NPO</t>
  </si>
  <si>
    <t>Nago; Ginowan; Okinawa</t>
  </si>
  <si>
    <t>Peace; Anti-war; International cooperation</t>
  </si>
  <si>
    <t>S103</t>
  </si>
  <si>
    <t>A088</t>
  </si>
  <si>
    <t>Okinawa Peace Cooperation Center</t>
  </si>
  <si>
    <t>Naha</t>
  </si>
  <si>
    <t>Peace; Human Security; International cooperation; Security</t>
  </si>
  <si>
    <t>S104</t>
  </si>
  <si>
    <t>A089</t>
  </si>
  <si>
    <t>Okinawa Teachers Union</t>
  </si>
  <si>
    <t>Labor union</t>
  </si>
  <si>
    <t>Labor Union</t>
  </si>
  <si>
    <t>Peace; Peace Education; Labor; Anti-war</t>
  </si>
  <si>
    <t>S105</t>
  </si>
  <si>
    <t>A090</t>
  </si>
  <si>
    <t>Okinawa High School and Special Needs School Teachers Union</t>
  </si>
  <si>
    <t>Peace; Peace Education; Labor; Anti-base</t>
  </si>
  <si>
    <t>S106</t>
  </si>
  <si>
    <t>A091</t>
  </si>
  <si>
    <t>Japanese Trade Union Confederation, Okinawa (RENGO Okinawa)</t>
  </si>
  <si>
    <t>Labor Union Federation</t>
  </si>
  <si>
    <t>Labor; Human rights; Life safety; Anti-base</t>
  </si>
  <si>
    <t>S107; S108</t>
  </si>
  <si>
    <t>A092</t>
  </si>
  <si>
    <t>Okinawa Confederation of Trade Unions</t>
  </si>
  <si>
    <t>Labor; Peace; Anti-base; Anti-war</t>
  </si>
  <si>
    <t>S109</t>
  </si>
  <si>
    <t>A093</t>
  </si>
  <si>
    <t>All-Japan Prefectural and Municipal Workers Union, Okinawa Headquarters</t>
  </si>
  <si>
    <t>Labor; Peace; Anti-base; Henoko</t>
  </si>
  <si>
    <t>S110</t>
  </si>
  <si>
    <t>A095</t>
  </si>
  <si>
    <t>Miyako Islanders' Association to Stop SDF Deployment</t>
  </si>
  <si>
    <t>Anti-militarization; Life safety; Local autonomy; Frontline prevention</t>
  </si>
  <si>
    <t>S112; S113</t>
  </si>
  <si>
    <t>A096</t>
  </si>
  <si>
    <t>Miyako Peace Movement Liaison Council</t>
  </si>
  <si>
    <t>Peace; Anti-militarization; Local autonomy; Frontline prevention</t>
  </si>
  <si>
    <t>S112</t>
  </si>
  <si>
    <t>A097</t>
  </si>
  <si>
    <t>Miyako Island Environmental Club</t>
  </si>
  <si>
    <t>Environment; Groundwater &amp; water source; Environmental Education; Community</t>
  </si>
  <si>
    <t>S114</t>
  </si>
  <si>
    <t>A098</t>
  </si>
  <si>
    <t>Miyako Island Marine Environment Network</t>
  </si>
  <si>
    <t>Environment; Marine Environment; Environmental Education; Community</t>
  </si>
  <si>
    <t>S115</t>
  </si>
  <si>
    <t>A099</t>
  </si>
  <si>
    <t>Liaison Council to Protect Citizens' Lives from PFAS Pollution</t>
  </si>
  <si>
    <t>Kadena; Chatan; central Okinawa</t>
  </si>
  <si>
    <t>Pfas; Groundwater &amp; water source; Health risk; Life safety; Base Environment</t>
  </si>
  <si>
    <t>S116; S117</t>
  </si>
  <si>
    <t>A100</t>
  </si>
  <si>
    <t>Uruma Citizens' Association to Protect Lives from Missile Deployment</t>
  </si>
  <si>
    <t>Uruma</t>
  </si>
  <si>
    <t>Missile; Life safety; Anti-militarization; Frontline prevention</t>
  </si>
  <si>
    <t>S118; S119</t>
  </si>
  <si>
    <t>A101</t>
  </si>
  <si>
    <t>Association to Convey Voices from Okinawa and the Ryukyu Arc</t>
  </si>
  <si>
    <t>Okinawa; Miyako; Ishigaki; Yonaguni</t>
  </si>
  <si>
    <t>Frontline prevention; Peace; Anti-militarization; Public Education</t>
  </si>
  <si>
    <t>S120</t>
  </si>
  <si>
    <t>A102</t>
  </si>
  <si>
    <t>National Liaison Council of Pollution Lawsuit Lawyers</t>
  </si>
  <si>
    <t>Legal Form Unresolved Professional Network</t>
  </si>
  <si>
    <t>Japan; Okinawa litigation</t>
  </si>
  <si>
    <t>Legal procedure; Environment; Noise; Life safety</t>
  </si>
  <si>
    <t>S121</t>
  </si>
  <si>
    <t>A103</t>
  </si>
  <si>
    <t>National Liaison Council of Military Base Noise Lawsuit Plaintiffs</t>
  </si>
  <si>
    <t>Japan; Kadena; Futenma</t>
  </si>
  <si>
    <t>Noise; Life safety; Legal procedure; Anti-base</t>
  </si>
  <si>
    <t>S122; S123</t>
  </si>
  <si>
    <t>A104</t>
  </si>
  <si>
    <t>Futenma Air Base Noise Litigation Legal Team</t>
  </si>
  <si>
    <t>Litigation Team</t>
  </si>
  <si>
    <t>Futenma</t>
  </si>
  <si>
    <t>S124</t>
  </si>
  <si>
    <t>A105</t>
  </si>
  <si>
    <t>YWCA of Japan</t>
  </si>
  <si>
    <t>Women's organization</t>
  </si>
  <si>
    <t>Women; Human rights; Peace; Henoko</t>
  </si>
  <si>
    <t>S125</t>
  </si>
  <si>
    <t>A106</t>
  </si>
  <si>
    <t>Tokyo Metropolitan Campaign: Do Not Fill the Henoko Sea with Soil</t>
  </si>
  <si>
    <t>Tokyo; Henoko</t>
  </si>
  <si>
    <t>Henoko; Environment; Anti-base; Solidarity</t>
  </si>
  <si>
    <t>S126; S127</t>
  </si>
  <si>
    <t>A107</t>
  </si>
  <si>
    <t>Okinawa YWCA</t>
  </si>
  <si>
    <t>Regional Association Or Chapter</t>
  </si>
  <si>
    <t>Women; Human rights; Peace; Anti-base</t>
  </si>
  <si>
    <t>S144; S295</t>
  </si>
  <si>
    <t>A108</t>
  </si>
  <si>
    <t>Okinawa Prefectural Association to Prevent Okinawa from Becoming a Battlefield Again</t>
  </si>
  <si>
    <t>Anti-war; Frontline prevention; Taiwan contingency; Peace</t>
  </si>
  <si>
    <t>S146; S147; S148</t>
  </si>
  <si>
    <t>A109</t>
  </si>
  <si>
    <t>Fourth Kadena Air Base Noise Injunction Litigation Legal Team</t>
  </si>
  <si>
    <t>S149; S150; S151; S152</t>
  </si>
  <si>
    <t>A110</t>
  </si>
  <si>
    <t>Osaka Action to Absolutely Stop a Base in Henoko</t>
  </si>
  <si>
    <t>Osaka; Henoko</t>
  </si>
  <si>
    <t>Henoko; Anti-base; Solidarity; Mobilization</t>
  </si>
  <si>
    <t>S153; S154</t>
  </si>
  <si>
    <t>A111</t>
  </si>
  <si>
    <t>Okinawa Prefectural Council of Women's Organizations</t>
  </si>
  <si>
    <t>Women; Peace; Anti-base; Human rights</t>
  </si>
  <si>
    <t>S200; S201; S206; S207; S208; S209</t>
  </si>
  <si>
    <t>A112</t>
  </si>
  <si>
    <t>Miyako Island Groundwater Research Group</t>
  </si>
  <si>
    <t>Groundwater &amp; water source; Health risk; Life safety; Environment</t>
  </si>
  <si>
    <t>S158; S204; S269; S270; S271; S272</t>
  </si>
  <si>
    <t>A113</t>
  </si>
  <si>
    <t>Ginowan Chura Water Association</t>
  </si>
  <si>
    <t>Ginowan; Futenma</t>
  </si>
  <si>
    <t>Groundwater &amp; water source; Health risk; Life safety; Environment; Legal procedure</t>
  </si>
  <si>
    <t>S273; S274; S275; S276; S277; S278; S279</t>
  </si>
  <si>
    <t>A114</t>
  </si>
  <si>
    <t>All Japan Dockworkers Union, Okinawa Branch</t>
  </si>
  <si>
    <t>Naha; Ishigaki</t>
  </si>
  <si>
    <t>Anti-base; Anti-militarization; Peace; Life safety; Mobilization</t>
  </si>
  <si>
    <t>S284; S285; S286; S287; S288; S289</t>
  </si>
  <si>
    <t>A115</t>
  </si>
  <si>
    <t>New Japan Women's Association, Okinawa Prefectural Headquarters</t>
  </si>
  <si>
    <t>Women; Human rights; Peace; Anti-base; Referendum</t>
  </si>
  <si>
    <t>S254; S280; S281; S282; S283</t>
  </si>
  <si>
    <t>X001</t>
  </si>
  <si>
    <t>USO Okinawa</t>
  </si>
  <si>
    <t>Base community service actor</t>
  </si>
  <si>
    <t>Not For Profit Organization</t>
  </si>
  <si>
    <t>Okinawa bases</t>
  </si>
  <si>
    <t>Military family service; Base community welfare</t>
  </si>
  <si>
    <t>X002</t>
  </si>
  <si>
    <t>Phoenix Corporation / Phoenix Park Hotel</t>
  </si>
  <si>
    <t>Local business sponsor</t>
  </si>
  <si>
    <t>Corporate</t>
  </si>
  <si>
    <t>For Profit Company</t>
  </si>
  <si>
    <t>Corporate Sponsorship; Base community welfare</t>
  </si>
  <si>
    <t>X003</t>
  </si>
  <si>
    <t>American Engineering Corporation AEC</t>
  </si>
  <si>
    <t>Corporate sponsor</t>
  </si>
  <si>
    <t>X004</t>
  </si>
  <si>
    <t>American Welfare &amp; Works Association (AWWA)</t>
  </si>
  <si>
    <t>Base spouse charity network</t>
  </si>
  <si>
    <t>Registered Nonprofit Pending Document Check</t>
  </si>
  <si>
    <t>Military family service; Charity; Base community welfare</t>
  </si>
  <si>
    <t>S041; S055; S072; S073; S074; S078</t>
  </si>
  <si>
    <t>X005</t>
  </si>
  <si>
    <t>Naval Officers' Spouses' Club of Okinawa NOSCO</t>
  </si>
  <si>
    <t>Base spouse club</t>
  </si>
  <si>
    <t>Private Membership Organization Status Unresolved</t>
  </si>
  <si>
    <t>Military family service; Charity</t>
  </si>
  <si>
    <t>S055</t>
  </si>
  <si>
    <t>X006</t>
  </si>
  <si>
    <t>Kadena Officers' Spouses' Club KOSC</t>
  </si>
  <si>
    <t>Registered Nonprofit</t>
  </si>
  <si>
    <t>Kadena</t>
  </si>
  <si>
    <t>Military family service; Charity; Scholarship</t>
  </si>
  <si>
    <t>S075; S076</t>
  </si>
  <si>
    <t>X007</t>
  </si>
  <si>
    <t>Okinawa Enlisted Spouses' Club (OESC)</t>
  </si>
  <si>
    <t>Us 501C3 Nonprofit</t>
  </si>
  <si>
    <t>S041; S053; S054</t>
  </si>
  <si>
    <t>X008</t>
  </si>
  <si>
    <t>American Red Cross Okinawa</t>
  </si>
  <si>
    <t>Nonprofit Or Branch Office Unresolved</t>
  </si>
  <si>
    <t>Camp Foster; U.S. Naval Hospital Okinawa</t>
  </si>
  <si>
    <t>Military family service; Emergency Support</t>
  </si>
  <si>
    <t>X009</t>
  </si>
  <si>
    <t>Navy-Marine Corps Relief Society Okinawa</t>
  </si>
  <si>
    <t>Camp Foster</t>
  </si>
  <si>
    <t>X010</t>
  </si>
  <si>
    <t>Okinawa NGO Center</t>
  </si>
  <si>
    <t>International cooperation; Administrative Collaboration; Public diplomacy</t>
  </si>
  <si>
    <t>X011</t>
  </si>
  <si>
    <t>JICA Okinawa</t>
  </si>
  <si>
    <t>Public Institution</t>
  </si>
  <si>
    <t>International cooperation; Administrative Collaboration</t>
  </si>
  <si>
    <t>X012</t>
  </si>
  <si>
    <t>TOMODACHI Initiative</t>
  </si>
  <si>
    <t>Public diplomacy/exchange actor</t>
  </si>
  <si>
    <t>Public Private Partnership</t>
  </si>
  <si>
    <t>Japan; United States; Okinawa possible</t>
  </si>
  <si>
    <t>Public diplomacy; Youth Exchange</t>
  </si>
  <si>
    <t>X013</t>
  </si>
  <si>
    <t>U.S. Consulate General Naha Okinawa Youth Council Program</t>
  </si>
  <si>
    <t>Public diplomacy grant program</t>
  </si>
  <si>
    <t>Grant Program</t>
  </si>
  <si>
    <t>S056; S082; S083; S084</t>
  </si>
  <si>
    <t>X014</t>
  </si>
  <si>
    <t>NED National Endowment for Democracy</t>
  </si>
  <si>
    <t>Funder/intermediary</t>
  </si>
  <si>
    <t>Foundation Status Unspecified</t>
  </si>
  <si>
    <t>Asia-Pacific</t>
  </si>
  <si>
    <t>Democracy Funding; Grantmaking</t>
  </si>
  <si>
    <t>watchlist_only</t>
  </si>
  <si>
    <t>S085; S086</t>
  </si>
  <si>
    <t>X015</t>
  </si>
  <si>
    <t>Peace Winds Japan</t>
  </si>
  <si>
    <t>International cooperation; Usaid Funding Method Sample</t>
  </si>
  <si>
    <t>in_scope_limited</t>
  </si>
  <si>
    <t>S087; S088</t>
  </si>
  <si>
    <t>X016</t>
  </si>
  <si>
    <t>Marine Officers' Spouses' Club Okinawa (MOSCO / MOSC)</t>
  </si>
  <si>
    <t>Camp Foster; Okinawa bases</t>
  </si>
  <si>
    <t>S041; S055; S079; S080</t>
  </si>
  <si>
    <t>X017</t>
  </si>
  <si>
    <t>Army Community Group of Okinawa (ACGO)</t>
  </si>
  <si>
    <t>Okinawa bases; Torii Station?</t>
  </si>
  <si>
    <t>S041; S072; S081</t>
  </si>
  <si>
    <t>Issue Taxonomy</t>
  </si>
  <si>
    <t>Controlled issue categories used to code bounded, source-backed actor–issue associations.</t>
  </si>
  <si>
    <t>Issue ID</t>
  </si>
  <si>
    <t>Issue</t>
  </si>
  <si>
    <t>Issue Group</t>
  </si>
  <si>
    <t>Definition</t>
  </si>
  <si>
    <t>Included in Phase 1</t>
  </si>
  <si>
    <t>I001</t>
  </si>
  <si>
    <t>Anti-base</t>
  </si>
  <si>
    <t>Base politics</t>
  </si>
  <si>
    <t>Opposition to U.S. base construction/relocation/burden</t>
  </si>
  <si>
    <t>Yes</t>
  </si>
  <si>
    <t>I002</t>
  </si>
  <si>
    <t>Anti-militarization</t>
  </si>
  <si>
    <t>Security politics</t>
  </si>
  <si>
    <t>Opposition to JSDF deployment or missile/base militarization</t>
  </si>
  <si>
    <t>I003</t>
  </si>
  <si>
    <t>Henoko</t>
  </si>
  <si>
    <t>Place issue</t>
  </si>
  <si>
    <t>Henoko/Oura Bay base construction and relocation conflict</t>
  </si>
  <si>
    <t>I004</t>
  </si>
  <si>
    <t>Dugong protection</t>
  </si>
  <si>
    <t>Environment</t>
  </si>
  <si>
    <t>Protection of Okinawa dugong habitat and related legal/international advocacy</t>
  </si>
  <si>
    <t>I005</t>
  </si>
  <si>
    <t>Biodiversity</t>
  </si>
  <si>
    <t>Coral/marine ecosystem and biodiversity protection</t>
  </si>
  <si>
    <t>I006</t>
  </si>
  <si>
    <t>Groundwater &amp; water source</t>
  </si>
  <si>
    <t>Life safety</t>
  </si>
  <si>
    <t>Groundwater/water-source concern around Miyako/Ishigaki deployment</t>
  </si>
  <si>
    <t>I007</t>
  </si>
  <si>
    <t>Daily safety, evacuation, risk, noise, accident, targetization concerns</t>
  </si>
  <si>
    <t>I008</t>
  </si>
  <si>
    <t>Health risk</t>
  </si>
  <si>
    <t>Electromagnetic waves, ammunition, contamination or health-risk claims</t>
  </si>
  <si>
    <t>I009</t>
  </si>
  <si>
    <t>Local autonomy</t>
  </si>
  <si>
    <t>Governance</t>
  </si>
  <si>
    <t>Self-determination, local referendum, municipal autonomy, prefectural autonomy</t>
  </si>
  <si>
    <t>I010</t>
  </si>
  <si>
    <t>Referendum</t>
  </si>
  <si>
    <t>Prefectural or municipal referendum and signature campaigns</t>
  </si>
  <si>
    <t>I011</t>
  </si>
  <si>
    <t>Legal procedure</t>
  </si>
  <si>
    <t>Legal policy</t>
  </si>
  <si>
    <t>Litigation, plaintiffs, lawyers, environmental procedure, administrative law</t>
  </si>
  <si>
    <t>I012</t>
  </si>
  <si>
    <t>International advocacy</t>
  </si>
  <si>
    <t>Transnational</t>
  </si>
  <si>
    <t>UN, U.S. institutions, international NGOs, cross-border advocacy</t>
  </si>
  <si>
    <t>I013</t>
  </si>
  <si>
    <t>Public diplomacy</t>
  </si>
  <si>
    <t>External network</t>
  </si>
  <si>
    <t>U.S. consulate, exchange, scholarship, youth leadership, alliance-related outreach</t>
  </si>
  <si>
    <t>No</t>
  </si>
  <si>
    <t>I014</t>
  </si>
  <si>
    <t>Military family service</t>
  </si>
  <si>
    <t>Base community</t>
  </si>
  <si>
    <t>Services and welfare for U.S. service members and families</t>
  </si>
  <si>
    <t>I015</t>
  </si>
  <si>
    <t>International cooperation</t>
  </si>
  <si>
    <t>JICA/MOFA/NGO cooperation and development education</t>
  </si>
  <si>
    <t>I016</t>
  </si>
  <si>
    <t>Base community welfare</t>
  </si>
  <si>
    <t>Welfare, charity, donation and service networks around U.S. base communities</t>
  </si>
  <si>
    <t>I017</t>
  </si>
  <si>
    <t>Frontline prevention</t>
  </si>
  <si>
    <t>Opposition to Okinawa/Ryukyu arc becoming a battlefield or frontline</t>
  </si>
  <si>
    <t>I018</t>
  </si>
  <si>
    <t>Taiwan contingency</t>
  </si>
  <si>
    <t>Taiwan contingency and surrounding security environment as public issue</t>
  </si>
  <si>
    <t>I019</t>
  </si>
  <si>
    <t>Peace</t>
  </si>
  <si>
    <t>Peace &amp; human rights</t>
  </si>
  <si>
    <t>Peace movement, anti-war and demilitarization framing</t>
  </si>
  <si>
    <t>I020</t>
  </si>
  <si>
    <t>General environmental protection or pollution framing not limited to biodiversity</t>
  </si>
  <si>
    <t>I021</t>
  </si>
  <si>
    <t>Noise</t>
  </si>
  <si>
    <t>Aircraft and base noise as daily-life harm and litigation subject</t>
  </si>
  <si>
    <t>I022</t>
  </si>
  <si>
    <t>Women</t>
  </si>
  <si>
    <t>Women's organizations, gendered civic participation, and women-focused advocacy</t>
  </si>
  <si>
    <t>I023</t>
  </si>
  <si>
    <t>Human rights</t>
  </si>
  <si>
    <t>Human-rights framing in civic, legal, peace, or international advocacy</t>
  </si>
  <si>
    <t>I024</t>
  </si>
  <si>
    <t>Solidarity</t>
  </si>
  <si>
    <t>Collective action</t>
  </si>
  <si>
    <t>Public solidarity or support action outside the Okinawa-local core</t>
  </si>
  <si>
    <t>I025</t>
  </si>
  <si>
    <t>Anti-war</t>
  </si>
  <si>
    <t>Opposition to war, military escalation, or the conversion of Okinawa into a battlefield</t>
  </si>
  <si>
    <t>I026</t>
  </si>
  <si>
    <t>Mobilization</t>
  </si>
  <si>
    <t>Sustained public organizing, street action, or campaign mobilization</t>
  </si>
  <si>
    <t>Place and Field Registry</t>
  </si>
  <si>
    <t>Geographic, installation, and institutional field nodes. Place visibility is not a measure of activity intensity.</t>
  </si>
  <si>
    <t>Place ID</t>
  </si>
  <si>
    <t>Place</t>
  </si>
  <si>
    <t>Place Type</t>
  </si>
  <si>
    <t>Region</t>
  </si>
  <si>
    <t>Research Relevance</t>
  </si>
  <si>
    <t>Priority</t>
  </si>
  <si>
    <t>P001</t>
  </si>
  <si>
    <t>Okinawa Prefecture</t>
  </si>
  <si>
    <t>Prefecture</t>
  </si>
  <si>
    <t>Overall project geography</t>
  </si>
  <si>
    <t>High</t>
  </si>
  <si>
    <t>P002</t>
  </si>
  <si>
    <t>Site</t>
  </si>
  <si>
    <t>Base relocation and direct action core</t>
  </si>
  <si>
    <t>P003</t>
  </si>
  <si>
    <t>Oura Bay</t>
  </si>
  <si>
    <t>Dugong/coral/biodiversity and international advocacy</t>
  </si>
  <si>
    <t>P004</t>
  </si>
  <si>
    <t>Ginowan</t>
  </si>
  <si>
    <t>Relocation origin and safety/noise issue</t>
  </si>
  <si>
    <t>Medium</t>
  </si>
  <si>
    <t>P005</t>
  </si>
  <si>
    <t>Kadena Air Base</t>
  </si>
  <si>
    <t>Base Site</t>
  </si>
  <si>
    <t>Kadena/Chatan/Okinawa City</t>
  </si>
  <si>
    <t>Major U.S. air base and base burden context</t>
  </si>
  <si>
    <t>P006</t>
  </si>
  <si>
    <t>Camp Schwab</t>
  </si>
  <si>
    <t>Nago/Henoko</t>
  </si>
  <si>
    <t>Henoko construction site and USO presence</t>
  </si>
  <si>
    <t>P007</t>
  </si>
  <si>
    <t>Central Okinawa</t>
  </si>
  <si>
    <t>U.S. base service network and Red Cross/NMCRS context</t>
  </si>
  <si>
    <t>P008</t>
  </si>
  <si>
    <t>Camp Hansen</t>
  </si>
  <si>
    <t>Central/Northern Okinawa</t>
  </si>
  <si>
    <t>U.S. base service network and training area</t>
  </si>
  <si>
    <t>P009</t>
  </si>
  <si>
    <t>Camp Kinser</t>
  </si>
  <si>
    <t>Urasoe</t>
  </si>
  <si>
    <t>U.S. base service network and logistics</t>
  </si>
  <si>
    <t>P010</t>
  </si>
  <si>
    <t>MCAS Futenma</t>
  </si>
  <si>
    <t>U.S. Marine air station and service network</t>
  </si>
  <si>
    <t>P011</t>
  </si>
  <si>
    <t>Yonaguni Town</t>
  </si>
  <si>
    <t>Municipality</t>
  </si>
  <si>
    <t>Sakishima</t>
  </si>
  <si>
    <t>Coastal surveillance unit; referendum; Taiwan proximity; high frontline relevance</t>
  </si>
  <si>
    <t>P012</t>
  </si>
  <si>
    <t>Ishigaki City</t>
  </si>
  <si>
    <t>Missile/base deployment; groundwater; referendum movement</t>
  </si>
  <si>
    <t>P013</t>
  </si>
  <si>
    <t>Miyakojima City</t>
  </si>
  <si>
    <t>Missile deployment; groundwater/water-source frame</t>
  </si>
  <si>
    <t>P014</t>
  </si>
  <si>
    <t>Institutional Site</t>
  </si>
  <si>
    <t>Urasoe/Okinawa</t>
  </si>
  <si>
    <t>International cooperation and ONC/JICA linkage</t>
  </si>
  <si>
    <t>Sample</t>
  </si>
  <si>
    <t>P015</t>
  </si>
  <si>
    <t>U.S. Consulate General Naha</t>
  </si>
  <si>
    <t>Public diplomacy and grant/exchange programs</t>
  </si>
  <si>
    <t>P016</t>
  </si>
  <si>
    <t>Takae</t>
  </si>
  <si>
    <t>Northern Okinawa / Yanbaru</t>
  </si>
  <si>
    <t>Northern Training Area helipad construction; Yanbaru forest protection</t>
  </si>
  <si>
    <t>P017</t>
  </si>
  <si>
    <t>Northern Okinawa</t>
  </si>
  <si>
    <t>Henoko host municipality; 1997 referendum; Nago city politics</t>
  </si>
  <si>
    <t>P018</t>
  </si>
  <si>
    <t>Futenma base host city; noise litigation; relocation origin</t>
  </si>
  <si>
    <t>P019</t>
  </si>
  <si>
    <t>Awase</t>
  </si>
  <si>
    <t>Okinawa City</t>
  </si>
  <si>
    <t>Tidal flat reclamation and environmental litigation</t>
  </si>
  <si>
    <t>P020</t>
  </si>
  <si>
    <t>Southern Okinawa</t>
  </si>
  <si>
    <t>Prefectural capital; civic organization headquarters</t>
  </si>
  <si>
    <t>P021</t>
  </si>
  <si>
    <t>Sakishima Islands</t>
  </si>
  <si>
    <t>Regional scale for sources that explicitly name Sakishima as a whole.</t>
  </si>
  <si>
    <t>Actor–Issue Relations</t>
  </si>
  <si>
    <t>283 current relations. Reviewed and research-layer observations remain explicitly separated.</t>
  </si>
  <si>
    <t>Edge ID</t>
  </si>
  <si>
    <t>Actor</t>
  </si>
  <si>
    <t>Display Layer</t>
  </si>
  <si>
    <t>Analysis Family</t>
  </si>
  <si>
    <t>Documented Basis</t>
  </si>
  <si>
    <t>Time Scope</t>
  </si>
  <si>
    <t>Interpretation Limit</t>
  </si>
  <si>
    <t>AI001</t>
  </si>
  <si>
    <t>Transnational NGOs and international advocacy</t>
  </si>
  <si>
    <t>OEJP/MMC dugong advocacy</t>
  </si>
  <si>
    <t>organizational_positioning</t>
  </si>
  <si>
    <t>S006;S007;S008</t>
  </si>
  <si>
    <t>actor--issue evidence only; does not establish stable inter-organizational alliance</t>
  </si>
  <si>
    <t>AI002</t>
  </si>
  <si>
    <t>Request to U.S. Marine Mammal Commission</t>
  </si>
  <si>
    <t>event_specific</t>
  </si>
  <si>
    <t>AI003</t>
  </si>
  <si>
    <t>Henoko/Oura Bay focus</t>
  </si>
  <si>
    <t>AI004</t>
  </si>
  <si>
    <t>Dugong protection campaign and advocacy context</t>
  </si>
  <si>
    <t>institutional_or_case_role</t>
  </si>
  <si>
    <t>S007;S057;S058;S059</t>
  </si>
  <si>
    <t>AI005</t>
  </si>
  <si>
    <t>IUCN and international advocacy context</t>
  </si>
  <si>
    <t>S007;S058</t>
  </si>
  <si>
    <t>AI006</t>
  </si>
  <si>
    <t>Okinawa local civic action</t>
  </si>
  <si>
    <t>2010 WWF signatory list</t>
  </si>
  <si>
    <t>AI007</t>
  </si>
  <si>
    <t>2010 WWF Henoko habitat statement</t>
  </si>
  <si>
    <t>AI008</t>
  </si>
  <si>
    <t>Japan-based NGOs and solidarity</t>
  </si>
  <si>
    <t>2015 NACSJ emergency statement</t>
  </si>
  <si>
    <t>AI009</t>
  </si>
  <si>
    <t>Henoko emergency statement</t>
  </si>
  <si>
    <t>AI010</t>
  </si>
  <si>
    <t>2010 WWF statement host</t>
  </si>
  <si>
    <t>AI011</t>
  </si>
  <si>
    <t>AI012</t>
  </si>
  <si>
    <t>AI013</t>
  </si>
  <si>
    <t>Henoko base construction opposition statement</t>
  </si>
  <si>
    <t>AI014</t>
  </si>
  <si>
    <t>Peace Boat Henoko statement</t>
  </si>
  <si>
    <t>AI015</t>
  </si>
  <si>
    <t>AI016</t>
  </si>
  <si>
    <t>Source-backed actor–issue coding.</t>
  </si>
  <si>
    <t>AI017</t>
  </si>
  <si>
    <t>No-war/international-cooperation NGO network purpose</t>
  </si>
  <si>
    <t>S065;S066;S067</t>
  </si>
  <si>
    <t>AI018</t>
  </si>
  <si>
    <t>Henoko referendum solidarity statement context</t>
  </si>
  <si>
    <t>S064</t>
  </si>
  <si>
    <t>AI019</t>
  </si>
  <si>
    <t>Earthjustice dugong litigation explainer</t>
  </si>
  <si>
    <t>AI020</t>
  </si>
  <si>
    <t>AI021</t>
  </si>
  <si>
    <t>S009;S128</t>
  </si>
  <si>
    <t>AI022</t>
  </si>
  <si>
    <t>Ishigaki anti-base civic group named in local news</t>
  </si>
  <si>
    <t>S016;S017</t>
  </si>
  <si>
    <t>AI023</t>
  </si>
  <si>
    <t>Ishigaki construction halt request cites water/ecosystem concerns</t>
  </si>
  <si>
    <t>S017</t>
  </si>
  <si>
    <t>AI024</t>
  </si>
  <si>
    <t>Ishigaki public debate/civic mobilization</t>
  </si>
  <si>
    <t>S016</t>
  </si>
  <si>
    <t>AI025</t>
  </si>
  <si>
    <t>S018;S019</t>
  </si>
  <si>
    <t>AI026</t>
  </si>
  <si>
    <t>Resident vote framing</t>
  </si>
  <si>
    <t>AI027</t>
  </si>
  <si>
    <t>AI028</t>
  </si>
  <si>
    <t>Miyako water preservation frame</t>
  </si>
  <si>
    <t>AI029</t>
  </si>
  <si>
    <t>Miyako JSDF deployment opposition</t>
  </si>
  <si>
    <t>AI030</t>
  </si>
  <si>
    <t>Water/life-safety frame</t>
  </si>
  <si>
    <t>AI031</t>
  </si>
  <si>
    <t>Miyako anti-missile group</t>
  </si>
  <si>
    <t>AI032</t>
  </si>
  <si>
    <t>Miyako groundwater/water concern</t>
  </si>
  <si>
    <t>AI033</t>
  </si>
  <si>
    <t>Missile/base life-safety concern</t>
  </si>
  <si>
    <t>AI034</t>
  </si>
  <si>
    <t>Yonaguni anti-deployment referendum committee lead</t>
  </si>
  <si>
    <t>S069;S010;S070</t>
  </si>
  <si>
    <t>AI035</t>
  </si>
  <si>
    <t>Yonaguni referendum/direct-request and vote-process concerns</t>
  </si>
  <si>
    <t>S069;S010;S071</t>
  </si>
  <si>
    <t>AI036</t>
  </si>
  <si>
    <t>Anti-deployment opinion-ad committee</t>
  </si>
  <si>
    <t>AI037</t>
  </si>
  <si>
    <t>Public opinion/ad action and referendum solidarity</t>
  </si>
  <si>
    <t>AI039</t>
  </si>
  <si>
    <t>Yonaguni deployment and joint-exercise concerns</t>
  </si>
  <si>
    <t>S052;S068</t>
  </si>
  <si>
    <t>AI040</t>
  </si>
  <si>
    <t>AI041</t>
  </si>
  <si>
    <t>Okinawa dialogue anti-war/frontline framing</t>
  </si>
  <si>
    <t>AI042</t>
  </si>
  <si>
    <t>AI043</t>
  </si>
  <si>
    <t>No More Okinawa War public framing</t>
  </si>
  <si>
    <t>S023;S024</t>
  </si>
  <si>
    <t>AI044</t>
  </si>
  <si>
    <t>AI045</t>
  </si>
  <si>
    <t>Anti-war framing</t>
  </si>
  <si>
    <t>AI046</t>
  </si>
  <si>
    <t>Henoko on-site sit-in and maritime action</t>
  </si>
  <si>
    <t>S049;S008</t>
  </si>
  <si>
    <t>AI047</t>
  </si>
  <si>
    <t>Henoko/Nago anti-heliport and on-site action</t>
  </si>
  <si>
    <t>S049;S050;S008</t>
  </si>
  <si>
    <t>AI048</t>
  </si>
  <si>
    <t>Legal and institutional procedure</t>
  </si>
  <si>
    <t>S061;S128;S142</t>
  </si>
  <si>
    <t>AI049</t>
  </si>
  <si>
    <t>S006;S007</t>
  </si>
  <si>
    <t>AI050</t>
  </si>
  <si>
    <t>S061;S128;S006;S007</t>
  </si>
  <si>
    <t>AI051</t>
  </si>
  <si>
    <t>Base-community service and charity</t>
  </si>
  <si>
    <t>USO Okinawa service role</t>
  </si>
  <si>
    <t>AI052</t>
  </si>
  <si>
    <t>USO Okinawa sponsor/service network</t>
  </si>
  <si>
    <t>AI053</t>
  </si>
  <si>
    <t>Funding, sponsorship, and public institutions</t>
  </si>
  <si>
    <t>Donation to USO Okinawa</t>
  </si>
  <si>
    <t>AI054</t>
  </si>
  <si>
    <t>Listed USO sponsor</t>
  </si>
  <si>
    <t>AI055</t>
  </si>
  <si>
    <t>AWWA spouse-club umbrella network</t>
  </si>
  <si>
    <t>S041;S055;S072</t>
  </si>
  <si>
    <t>AI056</t>
  </si>
  <si>
    <t>AWWA grantmaking/welfare network</t>
  </si>
  <si>
    <t>S041;S055;S077;S078</t>
  </si>
  <si>
    <t>AI057</t>
  </si>
  <si>
    <t>NOSCO spouse club / AWWA member relation</t>
  </si>
  <si>
    <t>AI058</t>
  </si>
  <si>
    <t>KOSC spouse club and Kadena Gift Corner charity role</t>
  </si>
  <si>
    <t>S075;S076</t>
  </si>
  <si>
    <t>AI059</t>
  </si>
  <si>
    <t>OESC spouse club/thrift shop and nonprofit record</t>
  </si>
  <si>
    <t>S053;S054</t>
  </si>
  <si>
    <t>AI060</t>
  </si>
  <si>
    <t>Red Cross Okinawa volunteer/service role</t>
  </si>
  <si>
    <t>AI061</t>
  </si>
  <si>
    <t>NMCRS emergency assistance role</t>
  </si>
  <si>
    <t>AI062</t>
  </si>
  <si>
    <t>International cooperation and public diplomacy</t>
  </si>
  <si>
    <t>MOFA NGO consultant/JICA relation</t>
  </si>
  <si>
    <t>X010;X011</t>
  </si>
  <si>
    <t>AI064</t>
  </si>
  <si>
    <t>JICA Okinawa institutional role</t>
  </si>
  <si>
    <t>AI065</t>
  </si>
  <si>
    <t>TOMODACHI public-private partnership</t>
  </si>
  <si>
    <t>AI066</t>
  </si>
  <si>
    <t>Okinawa Youth Council grant opportunity</t>
  </si>
  <si>
    <t>AI069</t>
  </si>
  <si>
    <t>2015 NACSJ emergency statement signatory</t>
  </si>
  <si>
    <t>AI070</t>
  </si>
  <si>
    <t>Statement opposes Henoko base construction</t>
  </si>
  <si>
    <t>AI071</t>
  </si>
  <si>
    <t>AI072</t>
  </si>
  <si>
    <t>AI073</t>
  </si>
  <si>
    <t>2015 NACSJ signatory local civic group</t>
  </si>
  <si>
    <t>AI074</t>
  </si>
  <si>
    <t>Name/framing links sea/Yanbaru protection</t>
  </si>
  <si>
    <t>AI075</t>
  </si>
  <si>
    <t>2015 NACSJ signatory</t>
  </si>
  <si>
    <t>AI076</t>
  </si>
  <si>
    <t>Name and statement context</t>
  </si>
  <si>
    <t>AI077</t>
  </si>
  <si>
    <t>AI078</t>
  </si>
  <si>
    <t>AI079</t>
  </si>
  <si>
    <t>2015 NACSJ signatory / peace news</t>
  </si>
  <si>
    <t>AI080</t>
  </si>
  <si>
    <t>2015 NACSJ signatory / public works reform frame</t>
  </si>
  <si>
    <t>AI081</t>
  </si>
  <si>
    <t>AI082</t>
  </si>
  <si>
    <t>Japan-U.S. citizen network signatory</t>
  </si>
  <si>
    <t>AI083</t>
  </si>
  <si>
    <t>AI084</t>
  </si>
  <si>
    <t>Okinawa biodiversity citizen network signatory</t>
  </si>
  <si>
    <t>AI085</t>
  </si>
  <si>
    <t>Henoko/Oura Bay statement context</t>
  </si>
  <si>
    <t>AI086</t>
  </si>
  <si>
    <t>2015 NACSJ environmental solidarity signatory</t>
  </si>
  <si>
    <t>AI087</t>
  </si>
  <si>
    <t>AI088</t>
  </si>
  <si>
    <t>Peace Philosophy Centre signatory</t>
  </si>
  <si>
    <t>AI089</t>
  </si>
  <si>
    <t>Peace Philosophy Centre framing</t>
  </si>
  <si>
    <t>AI090</t>
  </si>
  <si>
    <t>Friends of the Earth U.S. signatory</t>
  </si>
  <si>
    <t>AI091</t>
  </si>
  <si>
    <t>Environmental NGO signatory</t>
  </si>
  <si>
    <t>AI092</t>
  </si>
  <si>
    <t>KFEM signatory</t>
  </si>
  <si>
    <t>AI093</t>
  </si>
  <si>
    <t>KFEM environmental NGO</t>
  </si>
  <si>
    <t>AI094</t>
  </si>
  <si>
    <t>Overseas signatory</t>
  </si>
  <si>
    <t>AI095</t>
  </si>
  <si>
    <t>AI096</t>
  </si>
  <si>
    <t>AI097</t>
  </si>
  <si>
    <t>AI098</t>
  </si>
  <si>
    <t>Legal rights/natural resources center signatory</t>
  </si>
  <si>
    <t>AI099</t>
  </si>
  <si>
    <t>AI100</t>
  </si>
  <si>
    <t>2015 NACSJ overseas signatory</t>
  </si>
  <si>
    <t>S004;S089;S090</t>
  </si>
  <si>
    <t>AI101</t>
  </si>
  <si>
    <t>AI102</t>
  </si>
  <si>
    <t>Pacific Environment signatory</t>
  </si>
  <si>
    <t>AI103</t>
  </si>
  <si>
    <t>AI104</t>
  </si>
  <si>
    <t>AI105</t>
  </si>
  <si>
    <t>AI106</t>
  </si>
  <si>
    <t>S128;S129</t>
  </si>
  <si>
    <t>AI107</t>
  </si>
  <si>
    <t>Center for Biological Diversity signatory</t>
  </si>
  <si>
    <t>AI108</t>
  </si>
  <si>
    <t>U.S. environmental NGO signatory</t>
  </si>
  <si>
    <t>AI109</t>
  </si>
  <si>
    <t>S004;S091;S092</t>
  </si>
  <si>
    <t>AI110</t>
  </si>
  <si>
    <t>AI111</t>
  </si>
  <si>
    <t>Core anti-base coordination body</t>
  </si>
  <si>
    <t>AI112</t>
  </si>
  <si>
    <t>Peace movement coordination</t>
  </si>
  <si>
    <t>AI113</t>
  </si>
  <si>
    <t>Anti-military deployment coordination</t>
  </si>
  <si>
    <t>AI114</t>
  </si>
  <si>
    <t>Henoko opposition coordination</t>
  </si>
  <si>
    <t>AI115</t>
  </si>
  <si>
    <t>Symbolic landowner resistance to military land leases</t>
  </si>
  <si>
    <t>AI117</t>
  </si>
  <si>
    <t>Anti-war landowner movement</t>
  </si>
  <si>
    <t>AI119</t>
  </si>
  <si>
    <t>AI120</t>
  </si>
  <si>
    <t>Women's anti-base movement</t>
  </si>
  <si>
    <t>AI121</t>
  </si>
  <si>
    <t>AI122</t>
  </si>
  <si>
    <t>Bar association legal statements on base issues</t>
  </si>
  <si>
    <t>AI123</t>
  </si>
  <si>
    <t>Bar association statements on prefectural autonomy</t>
  </si>
  <si>
    <t>AI124</t>
  </si>
  <si>
    <t>President statements opposing Henoko construction</t>
  </si>
  <si>
    <t>AI125</t>
  </si>
  <si>
    <t>2019 prefectural referendum initiative</t>
  </si>
  <si>
    <t>AI126</t>
  </si>
  <si>
    <t>S185;S025</t>
  </si>
  <si>
    <t>AI127</t>
  </si>
  <si>
    <t>AI128</t>
  </si>
  <si>
    <t>Kadena noise litigation</t>
  </si>
  <si>
    <t>S026</t>
  </si>
  <si>
    <t>AI129</t>
  </si>
  <si>
    <t>AI130</t>
  </si>
  <si>
    <t>Base noise burden legal action</t>
  </si>
  <si>
    <t>AI131</t>
  </si>
  <si>
    <t>Futenma noise litigation</t>
  </si>
  <si>
    <t>S027</t>
  </si>
  <si>
    <t>AI132</t>
  </si>
  <si>
    <t>AI133</t>
  </si>
  <si>
    <t>AI135</t>
  </si>
  <si>
    <t>Tidal flat ecosystem protection</t>
  </si>
  <si>
    <t>AI136</t>
  </si>
  <si>
    <t>Environmental litigation against reclamation</t>
  </si>
  <si>
    <t>AI137</t>
  </si>
  <si>
    <t>Environmental network activities</t>
  </si>
  <si>
    <t>AI138</t>
  </si>
  <si>
    <t>Environmental perspective on base issues</t>
  </si>
  <si>
    <t>AI139</t>
  </si>
  <si>
    <t>National newspaper opinion ads on Okinawa base issues</t>
  </si>
  <si>
    <t>AI140</t>
  </si>
  <si>
    <t>Peace framing in opinion campaigns</t>
  </si>
  <si>
    <t>AI141</t>
  </si>
  <si>
    <t>Labor/civic umbrella anti-base coordination</t>
  </si>
  <si>
    <t>AI142</t>
  </si>
  <si>
    <t>Peace/labor movement coordination</t>
  </si>
  <si>
    <t>AI143</t>
  </si>
  <si>
    <t>All-island anti-Henoko base coordination</t>
  </si>
  <si>
    <t>AI144</t>
  </si>
  <si>
    <t>AI145</t>
  </si>
  <si>
    <t>Municipal/grassroots autonomy expression</t>
  </si>
  <si>
    <t>AI146</t>
  </si>
  <si>
    <t>Takae helipad opposition</t>
  </si>
  <si>
    <t>AI147</t>
  </si>
  <si>
    <t>Yanbaru forest protection concerns</t>
  </si>
  <si>
    <t>AI148</t>
  </si>
  <si>
    <t>Bird conservation and Henoko habitat statements</t>
  </si>
  <si>
    <t>S003;S004</t>
  </si>
  <si>
    <t>AI149</t>
  </si>
  <si>
    <t>Wetland conservation and Henoko/Oura Bay statements</t>
  </si>
  <si>
    <t>AI150</t>
  </si>
  <si>
    <t>Kanto-region anti-war landowner solidarity with Okinawa</t>
  </si>
  <si>
    <t>AI151</t>
  </si>
  <si>
    <t>Peace movement mainland branch</t>
  </si>
  <si>
    <t>AI152</t>
  </si>
  <si>
    <t>International network against foreign military bases</t>
  </si>
  <si>
    <t>AI153</t>
  </si>
  <si>
    <t>International anti-base advocacy</t>
  </si>
  <si>
    <t>AI154</t>
  </si>
  <si>
    <t>Southwest Islands anti-militarization network</t>
  </si>
  <si>
    <t>AI155</t>
  </si>
  <si>
    <t>Anti-frontline framing for Sakishima</t>
  </si>
  <si>
    <t>AI156</t>
  </si>
  <si>
    <t>Security environment concerns</t>
  </si>
  <si>
    <t>AI157</t>
  </si>
  <si>
    <t>AI158</t>
  </si>
  <si>
    <t>AI159</t>
  </si>
  <si>
    <t>AI160</t>
  </si>
  <si>
    <t>National council against Henoko landfill soil import</t>
  </si>
  <si>
    <t>AI161</t>
  </si>
  <si>
    <t>Henoko-specific soil import opposition</t>
  </si>
  <si>
    <t>AI162</t>
  </si>
  <si>
    <t>Environmental concern about soil import sources</t>
  </si>
  <si>
    <t>AI163</t>
  </si>
  <si>
    <t>1997 Nago city referendum initiative</t>
  </si>
  <si>
    <t>AI164</t>
  </si>
  <si>
    <t>S192;S042</t>
  </si>
  <si>
    <t>AI165</t>
  </si>
  <si>
    <t>Henoko/Nago base referendum</t>
  </si>
  <si>
    <t>AI166</t>
  </si>
  <si>
    <t>Dugong EIA monitoring</t>
  </si>
  <si>
    <t>AI167</t>
  </si>
  <si>
    <t>Environmental assessment monitoring</t>
  </si>
  <si>
    <t>AI168</t>
  </si>
  <si>
    <t>Henoko/Oura Bay EIA focus</t>
  </si>
  <si>
    <t>AI169</t>
  </si>
  <si>
    <t>Veterans peace advocacy in Okinawa</t>
  </si>
  <si>
    <t>AI170</t>
  </si>
  <si>
    <t>Veterans anti-base advocacy</t>
  </si>
  <si>
    <t>AI171</t>
  </si>
  <si>
    <t>U.S. veterans international peace advocacy</t>
  </si>
  <si>
    <t>AI172</t>
  </si>
  <si>
    <t>Civic peace liaison activities</t>
  </si>
  <si>
    <t>AI173</t>
  </si>
  <si>
    <t>Anti-base civic coordination</t>
  </si>
  <si>
    <t>AI177</t>
  </si>
  <si>
    <t>Administrative base burden management</t>
  </si>
  <si>
    <t>AI179</t>
  </si>
  <si>
    <t>MOSCO spouse club and AWWA member role</t>
  </si>
  <si>
    <t>S079;S080;S055</t>
  </si>
  <si>
    <t>AI180</t>
  </si>
  <si>
    <t>Army Community Group / AWWA member and gift shop lead</t>
  </si>
  <si>
    <t>S041;S072;S081</t>
  </si>
  <si>
    <t>AI181</t>
  </si>
  <si>
    <t>National pollution-litigation legal coordination includes airport/base-noise practice</t>
  </si>
  <si>
    <t>AI182</t>
  </si>
  <si>
    <t>AI183</t>
  </si>
  <si>
    <t>AI184</t>
  </si>
  <si>
    <t>AI185</t>
  </si>
  <si>
    <t>National base-noise plaintiff-group coordination and mutual support</t>
  </si>
  <si>
    <t>S122;S123</t>
  </si>
  <si>
    <t>AI186</t>
  </si>
  <si>
    <t>AI187</t>
  </si>
  <si>
    <t>AI188</t>
  </si>
  <si>
    <t>AI189</t>
  </si>
  <si>
    <t>Futenma noise-litigation counsel role</t>
  </si>
  <si>
    <t>AI190</t>
  </si>
  <si>
    <t>AI191</t>
  </si>
  <si>
    <t>AI192</t>
  </si>
  <si>
    <t>AI193</t>
  </si>
  <si>
    <t>Women, human rights, and community</t>
  </si>
  <si>
    <t>National YWCA women/human-rights/peace mission and 2020 Henoko statement</t>
  </si>
  <si>
    <t>AI194</t>
  </si>
  <si>
    <t>AI195</t>
  </si>
  <si>
    <t>AI196</t>
  </si>
  <si>
    <t>AI197</t>
  </si>
  <si>
    <t>Metropolitan-area public action opposing Henoko soil reclamation</t>
  </si>
  <si>
    <t>S126;S127</t>
  </si>
  <si>
    <t>AI198</t>
  </si>
  <si>
    <t>AI199</t>
  </si>
  <si>
    <t>AI200</t>
  </si>
  <si>
    <t>AI201</t>
  </si>
  <si>
    <t>Okinawa YWCA regional identity and women-focused mission</t>
  </si>
  <si>
    <t>S144;S295</t>
  </si>
  <si>
    <t>AI202</t>
  </si>
  <si>
    <t>Okinawa YWCA human-rights mission and activities</t>
  </si>
  <si>
    <t>AI203</t>
  </si>
  <si>
    <t>Okinawa YWCA peace mission and activities</t>
  </si>
  <si>
    <t>AI204</t>
  </si>
  <si>
    <t>Network purpose explicitly centers preventing Okinawa becoming a battlefield</t>
  </si>
  <si>
    <t>S146;S147;S148</t>
  </si>
  <si>
    <t>AI205</t>
  </si>
  <si>
    <t>Public framing connects Okinawa frontline risk to regional contingency planning</t>
  </si>
  <si>
    <t>AI206</t>
  </si>
  <si>
    <t>Prefectural anti-war and peace mobilization</t>
  </si>
  <si>
    <t>AI207</t>
  </si>
  <si>
    <t>Fourth Kadena base-noise injunction litigation counsel role</t>
  </si>
  <si>
    <t>S149;S150;S151;S152</t>
  </si>
  <si>
    <t>AI208</t>
  </si>
  <si>
    <t>Fourth Kadena litigation addresses residents' daily noise harm</t>
  </si>
  <si>
    <t>AI209</t>
  </si>
  <si>
    <t>Case-specific legal representation in fourth Kadena litigation</t>
  </si>
  <si>
    <t>AI210</t>
  </si>
  <si>
    <t>Flight-injunction claim concerning Kadena base-noise burden</t>
  </si>
  <si>
    <t>AI211</t>
  </si>
  <si>
    <t>Sustained Osaka public actions opposing Henoko base construction</t>
  </si>
  <si>
    <t>S153;S154</t>
  </si>
  <si>
    <t>AI212</t>
  </si>
  <si>
    <t>AI213</t>
  </si>
  <si>
    <t>Mainland public solidarity actions concerning Henoko</t>
  </si>
  <si>
    <t>AI214</t>
  </si>
  <si>
    <t>Cross-round Kadena base-noise plaintiff-group role</t>
  </si>
  <si>
    <t>S026;S149;S151;S155</t>
  </si>
  <si>
    <t>AI215</t>
  </si>
  <si>
    <t>Cross-round Futenma base-noise plaintiff-group role</t>
  </si>
  <si>
    <t>S027;S135;S156</t>
  </si>
  <si>
    <t>AI216</t>
  </si>
  <si>
    <t>Direct Henoko new-base opposition photo-exhibit activity</t>
  </si>
  <si>
    <t>AI217</t>
  </si>
  <si>
    <t>Prefecture-wide anti-war network formed to prevent Okinawa becoming a battlefield</t>
  </si>
  <si>
    <t>AI218</t>
  </si>
  <si>
    <t>Long-running fixed Osaka/Kansai action repertoire</t>
  </si>
  <si>
    <t>AI219</t>
  </si>
  <si>
    <t>Prefectural women's-network identity and women-focused public action</t>
  </si>
  <si>
    <t>S200;S201</t>
  </si>
  <si>
    <t>AI220</t>
  </si>
  <si>
    <t>Long-running women-led peace mobilization, including dated 1995 and 2024 actions</t>
  </si>
  <si>
    <t>S201</t>
  </si>
  <si>
    <t>AI221</t>
  </si>
  <si>
    <t>Dated base-removal and U.S.-military accountability mobilization</t>
  </si>
  <si>
    <t>AI222</t>
  </si>
  <si>
    <t>2024 mobilization framed U.S.-military sexual violence as a rights and accountability issue</t>
  </si>
  <si>
    <t>AI223</t>
  </si>
  <si>
    <t>S269;S270;S271</t>
  </si>
  <si>
    <t>AI224</t>
  </si>
  <si>
    <t>Public risk framing around substances that could affect drinking-water sources</t>
  </si>
  <si>
    <t>S269;S270</t>
  </si>
  <si>
    <t>AI225</t>
  </si>
  <si>
    <t>S270;S271</t>
  </si>
  <si>
    <t>AI226</t>
  </si>
  <si>
    <t>S158;S204;S270</t>
  </si>
  <si>
    <t>AI227</t>
  </si>
  <si>
    <t>PFAS sampling and groundwater investigation requests in Ginowan/Futenma</t>
  </si>
  <si>
    <t>S273;S274;S276;S277</t>
  </si>
  <si>
    <t>AI228</t>
  </si>
  <si>
    <t>Requests for exposure/health investigation and bounded PFAS risk communication</t>
  </si>
  <si>
    <t>S273;S276</t>
  </si>
  <si>
    <t>AI229</t>
  </si>
  <si>
    <t>Resident-led sampling and requests concerning school/community safety</t>
  </si>
  <si>
    <t>S274;S275;S278</t>
  </si>
  <si>
    <t>AI230</t>
  </si>
  <si>
    <t>PFAS contamination monitoring and administrative requests</t>
  </si>
  <si>
    <t>S273;S274;S277</t>
  </si>
  <si>
    <t>AI231</t>
  </si>
  <si>
    <t>S273;S274</t>
  </si>
  <si>
    <t>AI232</t>
  </si>
  <si>
    <t>Labor and education organizations</t>
  </si>
  <si>
    <t>S286;S289</t>
  </si>
  <si>
    <t>AI233</t>
  </si>
  <si>
    <t>S287;S288</t>
  </si>
  <si>
    <t>AI234</t>
  </si>
  <si>
    <t>AI235</t>
  </si>
  <si>
    <t>Union's stated port-worker occupational-safety framing</t>
  </si>
  <si>
    <t>AI236</t>
  </si>
  <si>
    <t>S286;S288;S289</t>
  </si>
  <si>
    <t>AI237</t>
  </si>
  <si>
    <t>S280;S282;S283</t>
  </si>
  <si>
    <t>AI238</t>
  </si>
  <si>
    <t>Dated requests concerning U.S.-military sexual violence</t>
  </si>
  <si>
    <t>S281;S282</t>
  </si>
  <si>
    <t>AI239</t>
  </si>
  <si>
    <t>Local requests and public action framed through peace and women's rights</t>
  </si>
  <si>
    <t>AI240</t>
  </si>
  <si>
    <t>S254;S281;S283</t>
  </si>
  <si>
    <t>AI241</t>
  </si>
  <si>
    <t>S283</t>
  </si>
  <si>
    <t>AI242</t>
  </si>
  <si>
    <t>S093;S060</t>
  </si>
  <si>
    <t>AI243</t>
  </si>
  <si>
    <t>AI244</t>
  </si>
  <si>
    <t>S060;S093</t>
  </si>
  <si>
    <t>AI245</t>
  </si>
  <si>
    <t>S229;S060</t>
  </si>
  <si>
    <t>AI246</t>
  </si>
  <si>
    <t>AI247</t>
  </si>
  <si>
    <t>S060;S229</t>
  </si>
  <si>
    <t>AI248</t>
  </si>
  <si>
    <t>S060;S228</t>
  </si>
  <si>
    <t>AI249</t>
  </si>
  <si>
    <t>S103;S230</t>
  </si>
  <si>
    <t>AI250</t>
  </si>
  <si>
    <t>AI251</t>
  </si>
  <si>
    <t>AI252</t>
  </si>
  <si>
    <t>S231;S232</t>
  </si>
  <si>
    <t>AI253</t>
  </si>
  <si>
    <t>S232;S231</t>
  </si>
  <si>
    <t>AI254</t>
  </si>
  <si>
    <t>AI255</t>
  </si>
  <si>
    <t>AI256</t>
  </si>
  <si>
    <t>AI257</t>
  </si>
  <si>
    <t>AI258</t>
  </si>
  <si>
    <t>S108</t>
  </si>
  <si>
    <t>AI259</t>
  </si>
  <si>
    <t>S108;S234</t>
  </si>
  <si>
    <t>AI260</t>
  </si>
  <si>
    <t>S235;S234</t>
  </si>
  <si>
    <t>AI261</t>
  </si>
  <si>
    <t>AI262</t>
  </si>
  <si>
    <t>S234</t>
  </si>
  <si>
    <t>AI263</t>
  </si>
  <si>
    <t>AI264</t>
  </si>
  <si>
    <t>AI265</t>
  </si>
  <si>
    <t>AI266</t>
  </si>
  <si>
    <t>AI267</t>
  </si>
  <si>
    <t>AI268</t>
  </si>
  <si>
    <t>S112;S237</t>
  </si>
  <si>
    <t>AI269</t>
  </si>
  <si>
    <t>S237</t>
  </si>
  <si>
    <t>AI270</t>
  </si>
  <si>
    <t>AI271</t>
  </si>
  <si>
    <t>S238</t>
  </si>
  <si>
    <t>AI272</t>
  </si>
  <si>
    <t>S239;S112;S240</t>
  </si>
  <si>
    <t>AI273</t>
  </si>
  <si>
    <t>S240</t>
  </si>
  <si>
    <t>AI274</t>
  </si>
  <si>
    <t>AI275</t>
  </si>
  <si>
    <t>S241</t>
  </si>
  <si>
    <t>AI276</t>
  </si>
  <si>
    <t>AI277</t>
  </si>
  <si>
    <t>AI278</t>
  </si>
  <si>
    <t>S242</t>
  </si>
  <si>
    <t>AI279</t>
  </si>
  <si>
    <t>S116</t>
  </si>
  <si>
    <t>AI280</t>
  </si>
  <si>
    <t>S243;S116</t>
  </si>
  <si>
    <t>AI281</t>
  </si>
  <si>
    <t>AI282</t>
  </si>
  <si>
    <t>S116;S243</t>
  </si>
  <si>
    <t>AI283</t>
  </si>
  <si>
    <t>S118;S119;S244</t>
  </si>
  <si>
    <t>AI284</t>
  </si>
  <si>
    <t>S119;S244</t>
  </si>
  <si>
    <t>AI285</t>
  </si>
  <si>
    <t>AI286</t>
  </si>
  <si>
    <t>S119</t>
  </si>
  <si>
    <t>AI287</t>
  </si>
  <si>
    <t>S244;S119</t>
  </si>
  <si>
    <t>AI288</t>
  </si>
  <si>
    <t>S245</t>
  </si>
  <si>
    <t>AI289</t>
  </si>
  <si>
    <t>AI290</t>
  </si>
  <si>
    <t>AI291</t>
  </si>
  <si>
    <t>AI292</t>
  </si>
  <si>
    <t>AI293</t>
  </si>
  <si>
    <t>S245;S246</t>
  </si>
  <si>
    <t>AI294</t>
  </si>
  <si>
    <t>S247;S246</t>
  </si>
  <si>
    <t>Actor–Place Relations</t>
  </si>
  <si>
    <t>130 current place records. Headquarters, activity site, event venue, advocacy target, and institutional field are distinct semantics.</t>
  </si>
  <si>
    <t>Place Meaning</t>
  </si>
  <si>
    <t>Claim Status</t>
  </si>
  <si>
    <t>AP001</t>
  </si>
  <si>
    <t>This record documents a coded place relation; it does not measure activity intensity or organizational importance.</t>
  </si>
  <si>
    <t>AP002</t>
  </si>
  <si>
    <t>AP003</t>
  </si>
  <si>
    <t>AP004</t>
  </si>
  <si>
    <t>AP005</t>
  </si>
  <si>
    <t>Site Presence</t>
  </si>
  <si>
    <t>Supported (bounded)</t>
  </si>
  <si>
    <t>AP006</t>
  </si>
  <si>
    <t>AP007</t>
  </si>
  <si>
    <t>AP008</t>
  </si>
  <si>
    <t>AP009</t>
  </si>
  <si>
    <t>AP010</t>
  </si>
  <si>
    <t>AP011</t>
  </si>
  <si>
    <t>AP012</t>
  </si>
  <si>
    <t>AP013</t>
  </si>
  <si>
    <t>AP014</t>
  </si>
  <si>
    <t>AP015</t>
  </si>
  <si>
    <t>AP016</t>
  </si>
  <si>
    <t>AP017</t>
  </si>
  <si>
    <t>AP018</t>
  </si>
  <si>
    <t>AP019</t>
  </si>
  <si>
    <t>AP020</t>
  </si>
  <si>
    <t>AP021</t>
  </si>
  <si>
    <t>AP022</t>
  </si>
  <si>
    <t>AP023</t>
  </si>
  <si>
    <t>AP024</t>
  </si>
  <si>
    <t>AP025</t>
  </si>
  <si>
    <t>AP026</t>
  </si>
  <si>
    <t>AP027</t>
  </si>
  <si>
    <t>AP028</t>
  </si>
  <si>
    <t>AP029</t>
  </si>
  <si>
    <t>AP030</t>
  </si>
  <si>
    <t>AP031</t>
  </si>
  <si>
    <t>AP032</t>
  </si>
  <si>
    <t>AP033</t>
  </si>
  <si>
    <t>AP034</t>
  </si>
  <si>
    <t>AP035</t>
  </si>
  <si>
    <t>AP036</t>
  </si>
  <si>
    <t>Headquarters</t>
  </si>
  <si>
    <t>AP037</t>
  </si>
  <si>
    <t>AP038</t>
  </si>
  <si>
    <t>AP039</t>
  </si>
  <si>
    <t>AP040</t>
  </si>
  <si>
    <t>S053;S054;S055</t>
  </si>
  <si>
    <t>AP041</t>
  </si>
  <si>
    <t>AP042</t>
  </si>
  <si>
    <t>AP043</t>
  </si>
  <si>
    <t>AP044</t>
  </si>
  <si>
    <t>AP045</t>
  </si>
  <si>
    <t>AP046</t>
  </si>
  <si>
    <t>AP047</t>
  </si>
  <si>
    <t>AP049</t>
  </si>
  <si>
    <t>Candidate</t>
  </si>
  <si>
    <t>AP050</t>
  </si>
  <si>
    <t>AP051</t>
  </si>
  <si>
    <t>AP052</t>
  </si>
  <si>
    <t>Advocacy Target</t>
  </si>
  <si>
    <t>AP053</t>
  </si>
  <si>
    <t>AP054</t>
  </si>
  <si>
    <t>AP055</t>
  </si>
  <si>
    <t>AP056</t>
  </si>
  <si>
    <t>AP057</t>
  </si>
  <si>
    <t>AP058</t>
  </si>
  <si>
    <t>AP059</t>
  </si>
  <si>
    <t>AP060</t>
  </si>
  <si>
    <t>AP061</t>
  </si>
  <si>
    <t>AP062</t>
  </si>
  <si>
    <t>AP063</t>
  </si>
  <si>
    <t>AP064</t>
  </si>
  <si>
    <t>AP065</t>
  </si>
  <si>
    <t>AP066</t>
  </si>
  <si>
    <t>AP067</t>
  </si>
  <si>
    <t>AP068</t>
  </si>
  <si>
    <t>AP069</t>
  </si>
  <si>
    <t>AP070</t>
  </si>
  <si>
    <t>AP071</t>
  </si>
  <si>
    <t>AP072</t>
  </si>
  <si>
    <t>AP073</t>
  </si>
  <si>
    <t>AP074</t>
  </si>
  <si>
    <t>AP075</t>
  </si>
  <si>
    <t>AP076</t>
  </si>
  <si>
    <t>AP077</t>
  </si>
  <si>
    <t>AP078</t>
  </si>
  <si>
    <t>AP079</t>
  </si>
  <si>
    <t>AP080</t>
  </si>
  <si>
    <t>AP081</t>
  </si>
  <si>
    <t>AP082</t>
  </si>
  <si>
    <t>AP083</t>
  </si>
  <si>
    <t>AP084</t>
  </si>
  <si>
    <t>AP085</t>
  </si>
  <si>
    <t>Event Site</t>
  </si>
  <si>
    <t>AP086</t>
  </si>
  <si>
    <t>AP087</t>
  </si>
  <si>
    <t>AP089</t>
  </si>
  <si>
    <t>AP090</t>
  </si>
  <si>
    <t>AP091</t>
  </si>
  <si>
    <t>AP092</t>
  </si>
  <si>
    <t>AP094</t>
  </si>
  <si>
    <t>AP095</t>
  </si>
  <si>
    <t>AP096</t>
  </si>
  <si>
    <t>AP097</t>
  </si>
  <si>
    <t>AP098</t>
  </si>
  <si>
    <t>AP099</t>
  </si>
  <si>
    <t>AP100</t>
  </si>
  <si>
    <t>AP101</t>
  </si>
  <si>
    <t>AP102</t>
  </si>
  <si>
    <t>AP103</t>
  </si>
  <si>
    <t>AP104</t>
  </si>
  <si>
    <t>AP105</t>
  </si>
  <si>
    <t>AP107</t>
  </si>
  <si>
    <t>AP108</t>
  </si>
  <si>
    <t>AP109</t>
  </si>
  <si>
    <t>AP110</t>
  </si>
  <si>
    <t>AP111</t>
  </si>
  <si>
    <t>AP112</t>
  </si>
  <si>
    <t>AP113</t>
  </si>
  <si>
    <t>AP114</t>
  </si>
  <si>
    <t>AP115</t>
  </si>
  <si>
    <t>AP116</t>
  </si>
  <si>
    <t>AP117</t>
  </si>
  <si>
    <t>AP119</t>
  </si>
  <si>
    <t>AP120</t>
  </si>
  <si>
    <t>AP121</t>
  </si>
  <si>
    <t>AP122</t>
  </si>
  <si>
    <t>AP123</t>
  </si>
  <si>
    <t>S079;S080</t>
  </si>
  <si>
    <t>AP124</t>
  </si>
  <si>
    <t>AP125</t>
  </si>
  <si>
    <t>AP126</t>
  </si>
  <si>
    <t>AP127</t>
  </si>
  <si>
    <t>AP128</t>
  </si>
  <si>
    <t>S149;S152</t>
  </si>
  <si>
    <t>AP129</t>
  </si>
  <si>
    <t>AP130</t>
  </si>
  <si>
    <t>S158;S204;S271</t>
  </si>
  <si>
    <t>AP131</t>
  </si>
  <si>
    <t>AP132</t>
  </si>
  <si>
    <t>S274;S275;S277</t>
  </si>
  <si>
    <t>AP133</t>
  </si>
  <si>
    <t>S284;S285</t>
  </si>
  <si>
    <t>AP134</t>
  </si>
  <si>
    <t>AP135</t>
  </si>
  <si>
    <t>Actor–Event–Venue Records</t>
  </si>
  <si>
    <t>67 event and analytical-seed records. Joint participation is event-specific and is not converted into alliance edges.</t>
  </si>
  <si>
    <t>Record ID</t>
  </si>
  <si>
    <t>Event ID</t>
  </si>
  <si>
    <t>Event</t>
  </si>
  <si>
    <t>Year</t>
  </si>
  <si>
    <t>Participant ID</t>
  </si>
  <si>
    <t>Participant</t>
  </si>
  <si>
    <t>Entity Type</t>
  </si>
  <si>
    <t>Action Type</t>
  </si>
  <si>
    <t>Role</t>
  </si>
  <si>
    <t>Venue</t>
  </si>
  <si>
    <t>Target</t>
  </si>
  <si>
    <t>AEV0001</t>
  </si>
  <si>
    <t>EV2010_WWF_67</t>
  </si>
  <si>
    <t>WWF Japan 67-group Henoko / dugong statement</t>
  </si>
  <si>
    <t>2010</t>
  </si>
  <si>
    <t>Registry actor</t>
  </si>
  <si>
    <t>Joint-statement participation</t>
  </si>
  <si>
    <t>Co Signer Or Participant</t>
  </si>
  <si>
    <t>V002</t>
  </si>
  <si>
    <t>Henoko base construction plan</t>
  </si>
  <si>
    <t>co-signing is one-off event participation, not stable alliance</t>
  </si>
  <si>
    <t>AEV0002</t>
  </si>
  <si>
    <t>AEV0003</t>
  </si>
  <si>
    <t>AEV0004</t>
  </si>
  <si>
    <t>AEV0005</t>
  </si>
  <si>
    <t>AEV0006</t>
  </si>
  <si>
    <t>EV2015_NACSJ_31</t>
  </si>
  <si>
    <t>NACSJ / Peace Boat 31-NGO emergency Henoko statement</t>
  </si>
  <si>
    <t>2015</t>
  </si>
  <si>
    <t>AEV0007</t>
  </si>
  <si>
    <t>AEV0008</t>
  </si>
  <si>
    <t>AEV0009</t>
  </si>
  <si>
    <t>AEV0010</t>
  </si>
  <si>
    <t>AEV0011</t>
  </si>
  <si>
    <t>AEV0012</t>
  </si>
  <si>
    <t>AEV0013</t>
  </si>
  <si>
    <t>AEV0014</t>
  </si>
  <si>
    <t>AEV0015</t>
  </si>
  <si>
    <t>AEV0016</t>
  </si>
  <si>
    <t>AEV0017</t>
  </si>
  <si>
    <t>AEV0018</t>
  </si>
  <si>
    <t>AEV0019</t>
  </si>
  <si>
    <t>AEV0020</t>
  </si>
  <si>
    <t>AEV0021</t>
  </si>
  <si>
    <t>AEV0022</t>
  </si>
  <si>
    <t>AEV0023</t>
  </si>
  <si>
    <t>AEV0024</t>
  </si>
  <si>
    <t>AEV0025</t>
  </si>
  <si>
    <t>AEV0026</t>
  </si>
  <si>
    <t>AEV0027</t>
  </si>
  <si>
    <t>AEV0028</t>
  </si>
  <si>
    <t>AEV0029</t>
  </si>
  <si>
    <t>AEV0030</t>
  </si>
  <si>
    <t>AEV0031</t>
  </si>
  <si>
    <t>AEV0032</t>
  </si>
  <si>
    <t>AEV0033</t>
  </si>
  <si>
    <t>AEV0034</t>
  </si>
  <si>
    <t>EV2020_OEJP_MMC_71</t>
  </si>
  <si>
    <t>OEJP / MMC civil-society request and report</t>
  </si>
  <si>
    <t>2020</t>
  </si>
  <si>
    <t>Request-submission participation</t>
  </si>
  <si>
    <t>V004</t>
  </si>
  <si>
    <t>U.S. Marine Mammal Commission</t>
  </si>
  <si>
    <t>S006</t>
  </si>
  <si>
    <t>AEV0035</t>
  </si>
  <si>
    <t>AEV0036</t>
  </si>
  <si>
    <t>A077</t>
  </si>
  <si>
    <t>Diving Team Rainbow</t>
  </si>
  <si>
    <t>Unverified event participant</t>
  </si>
  <si>
    <t>E2 signatory-only evidence: one-off public participation only; do not infer organizational continuity, a stable alliance, or a definite conclusion.</t>
  </si>
  <si>
    <t>AEV0037</t>
  </si>
  <si>
    <t>A078</t>
  </si>
  <si>
    <t>Dugong no Sato</t>
  </si>
  <si>
    <t>AEV0038</t>
  </si>
  <si>
    <t>A079</t>
  </si>
  <si>
    <t>Okinawa Reefcheck and Research Group</t>
  </si>
  <si>
    <t>AEV0039</t>
  </si>
  <si>
    <t>A080</t>
  </si>
  <si>
    <t>Okumagawa Basin Protection Foundation</t>
  </si>
  <si>
    <t>AEV0040</t>
  </si>
  <si>
    <t>A081</t>
  </si>
  <si>
    <t>Protect Northernmost Dugong Team Zan</t>
  </si>
  <si>
    <t>AEV0041</t>
  </si>
  <si>
    <t>A082</t>
  </si>
  <si>
    <t>East Asian Community Institute Ryukyu Okinawa Center</t>
  </si>
  <si>
    <t>AEV0042</t>
  </si>
  <si>
    <t>A083</t>
  </si>
  <si>
    <t>Henoko Blue</t>
  </si>
  <si>
    <t>AEV0043</t>
  </si>
  <si>
    <t>A084</t>
  </si>
  <si>
    <t>Nago Democracy</t>
  </si>
  <si>
    <t>AEV0044</t>
  </si>
  <si>
    <t>A085</t>
  </si>
  <si>
    <t>No Heliport Base Association of 10 Districts North of Futamai</t>
  </si>
  <si>
    <t>AEV0045</t>
  </si>
  <si>
    <t>EV2003_DUGONG_LAWSUIT</t>
  </si>
  <si>
    <t>Okinawa Dugong v. Rumsfeld NHPA lawsuit (C 03-4350 MHP)</t>
  </si>
  <si>
    <t>2003</t>
  </si>
  <si>
    <t>Litigation</t>
  </si>
  <si>
    <t>Named Plaintiff</t>
  </si>
  <si>
    <t>V005</t>
  </si>
  <si>
    <t>U.S. Department of Defense</t>
  </si>
  <si>
    <t>S060</t>
  </si>
  <si>
    <t>Human-checked case role only; keep named plaintiff, individual, counsel, defendant, and non-party roles distinct.</t>
  </si>
  <si>
    <t>AEV0046</t>
  </si>
  <si>
    <t>AEV0047</t>
  </si>
  <si>
    <t>S061</t>
  </si>
  <si>
    <t>AEV0048</t>
  </si>
  <si>
    <t>AEV0049</t>
  </si>
  <si>
    <t>Legal Counsel</t>
  </si>
  <si>
    <t>AEV0050</t>
  </si>
  <si>
    <t>EV2019_PREF_REFERENDUM</t>
  </si>
  <si>
    <t>2019 Henoko prefectural referendum</t>
  </si>
  <si>
    <t>2019</t>
  </si>
  <si>
    <t>Referendum Initiator</t>
  </si>
  <si>
    <t>V007</t>
  </si>
  <si>
    <t>Henoko reclamation and base-construction question</t>
  </si>
  <si>
    <t>Human-checked referendum-initiator role for this specific process only; do not infer a stable alliance or wider political causation.</t>
  </si>
  <si>
    <t>AEV0051</t>
  </si>
  <si>
    <t>EV1997_NAGO_REFERENDUM</t>
  </si>
  <si>
    <t>1997 Nago city referendum</t>
  </si>
  <si>
    <t>1997</t>
  </si>
  <si>
    <t>V008</t>
  </si>
  <si>
    <t>Nago base-relocation referendum question</t>
  </si>
  <si>
    <t>AEV0052</t>
  </si>
  <si>
    <t>EV_ISHIGAKI_REFERENDUM</t>
  </si>
  <si>
    <t>Ishigaki referendum drive (2018-2019)</t>
  </si>
  <si>
    <t>Ishigaki referendum ordinance and JSDF-deployment question</t>
  </si>
  <si>
    <t>S018</t>
  </si>
  <si>
    <t>AEV0053</t>
  </si>
  <si>
    <t>EV2015_YONAGUNI_REFERENDUM</t>
  </si>
  <si>
    <t>2015 Yonaguni SDF-deployment referendum</t>
  </si>
  <si>
    <t>Referendum Committee</t>
  </si>
  <si>
    <t>Yonaguni JSDF-deployment question</t>
  </si>
  <si>
    <t>S069</t>
  </si>
  <si>
    <t>E2 event-context evidence only: organization identity and continuity remain unresolved pending local retrieval; do not use as a definite conclusion.</t>
  </si>
  <si>
    <t>AEV0054</t>
  </si>
  <si>
    <t>EV2012_YONAGUNI_OPINION_AD</t>
  </si>
  <si>
    <t>2012 Yonaguni anti-deployment opinion ad</t>
  </si>
  <si>
    <t>2012</t>
  </si>
  <si>
    <t>Opinion ad</t>
  </si>
  <si>
    <t>Opinion Ad Committee</t>
  </si>
  <si>
    <t>V009</t>
  </si>
  <si>
    <t>Public opinion on Yonaguni JSDF deployment</t>
  </si>
  <si>
    <t>AEV0055</t>
  </si>
  <si>
    <t>Anna Shimabukuro</t>
  </si>
  <si>
    <t>Individual</t>
  </si>
  <si>
    <t>Named Plaintiff Individual</t>
  </si>
  <si>
    <t>AEV0056</t>
  </si>
  <si>
    <t>Takuma Higashionna</t>
  </si>
  <si>
    <t>AEV0057</t>
  </si>
  <si>
    <t>Yoshikazu Makishi</t>
  </si>
  <si>
    <t>AEV0058</t>
  </si>
  <si>
    <t>DoD_US</t>
  </si>
  <si>
    <t>Institution</t>
  </si>
  <si>
    <t>Defendant</t>
  </si>
  <si>
    <t>S093</t>
  </si>
  <si>
    <t>AEV0059</t>
  </si>
  <si>
    <t>Not Plaintiff Advocacy</t>
  </si>
  <si>
    <t>Human-checked non-party organization role: person-level participation must not be transferred to an organization; not an alliance finding.</t>
  </si>
  <si>
    <t>AEV0060</t>
  </si>
  <si>
    <t>Not Plaintiff Onsite Movement</t>
  </si>
  <si>
    <t>AEV0061</t>
  </si>
  <si>
    <t>Analytical seed</t>
  </si>
  <si>
    <t>Henoko/Oura Bay transnational pathway analytical seed</t>
  </si>
  <si>
    <t>Analytical Pathway Role</t>
  </si>
  <si>
    <t>Onsite Actor</t>
  </si>
  <si>
    <t>V001</t>
  </si>
  <si>
    <t>Research Seed</t>
  </si>
  <si>
    <t>S049</t>
  </si>
  <si>
    <t>Analytical pathway seed only: this is not an observed causal chain, stable alliance, or deterministic finding.</t>
  </si>
  <si>
    <t>AEV0062</t>
  </si>
  <si>
    <t>Local Environmental Advocacy</t>
  </si>
  <si>
    <t>Dugong habitat and Henoko construction</t>
  </si>
  <si>
    <t>AEV0063</t>
  </si>
  <si>
    <t>Domestic Environmental Advocacy</t>
  </si>
  <si>
    <t>AEV0064</t>
  </si>
  <si>
    <t>Statement Host</t>
  </si>
  <si>
    <t>AEV0065</t>
  </si>
  <si>
    <t>EV2024_WOMEN_ANTI_VIOLENCE_RALLY</t>
  </si>
  <si>
    <t>2024 prefectural rally against U.S. military sexual violence</t>
  </si>
  <si>
    <t>2024</t>
  </si>
  <si>
    <t>Public rally</t>
  </si>
  <si>
    <t>Organizer Or Convener</t>
  </si>
  <si>
    <t>V015</t>
  </si>
  <si>
    <t>Japan and U.S. governments / prevention and accountability policy</t>
  </si>
  <si>
    <t>S200</t>
  </si>
  <si>
    <t>Event-level organizing only; co-participation does not establish stable alliance ties.</t>
  </si>
  <si>
    <t>AEV0066</t>
  </si>
  <si>
    <t>EV2023_PREFECTURAL_PEACE_RALLY</t>
  </si>
  <si>
    <t>2023 Okinawa prefectural peace mass rally</t>
  </si>
  <si>
    <t>2023</t>
  </si>
  <si>
    <t>Japanese government's Southwest shift and military/base buildup in Okinawa</t>
  </si>
  <si>
    <t>S147</t>
  </si>
  <si>
    <t>Event-level organizing only; attendance or co-participation does not establish membership a stable alliance or policy effect.</t>
  </si>
  <si>
    <t>AEV0067</t>
  </si>
  <si>
    <t>EV2022_KADENA_4TH_NOISE_LAWSUIT</t>
  </si>
  <si>
    <t>Fourth Kadena Base Noise Injunction Lawsuit filing</t>
  </si>
  <si>
    <t>2022</t>
  </si>
  <si>
    <t>V006</t>
  </si>
  <si>
    <t>Government of Japan</t>
  </si>
  <si>
    <t>S152</t>
  </si>
  <si>
    <t>Fourth-round case role only; do not infer a complete lawyer roster representation in earlier rounds funding or a stable alliance.</t>
  </si>
  <si>
    <t>Typed Relation Observations</t>
  </si>
  <si>
    <t>43 heterogeneous observations across resources, service, affiliation, legal support, coordination, aggregate scope, and research leads.</t>
  </si>
  <si>
    <t>Relation Family</t>
  </si>
  <si>
    <t>Relation Type</t>
  </si>
  <si>
    <t>Observation Kind</t>
  </si>
  <si>
    <t>Source ID</t>
  </si>
  <si>
    <t>Source Actor / Node</t>
  </si>
  <si>
    <t>Target ID</t>
  </si>
  <si>
    <t>Target Actor / Node</t>
  </si>
  <si>
    <t>Event or Program</t>
  </si>
  <si>
    <t>Amount</t>
  </si>
  <si>
    <t>Currency</t>
  </si>
  <si>
    <t>Amount Meaning</t>
  </si>
  <si>
    <t>Date or Period</t>
  </si>
  <si>
    <t>F001</t>
  </si>
  <si>
    <t>Resources &amp; funding</t>
  </si>
  <si>
    <t>Donation</t>
  </si>
  <si>
    <t>Dyadic Relation</t>
  </si>
  <si>
    <t>Phoenix Park Hotel donation to USO Okinawa</t>
  </si>
  <si>
    <t>A documented donation, sponsorship, grant, or contribution is not evidence of a stable alliance, control, influence, or a base-policy position; sponsor tiers and project costs are not payment amounts.</t>
  </si>
  <si>
    <t>F002</t>
  </si>
  <si>
    <t>Sponsorship</t>
  </si>
  <si>
    <t>AEC longstanding USO Okinawa corporate sponsor</t>
  </si>
  <si>
    <t>S097; S098</t>
  </si>
  <si>
    <t>F003</t>
  </si>
  <si>
    <t>Commission &amp; service</t>
  </si>
  <si>
    <t>Site presence</t>
  </si>
  <si>
    <t>Administrative Record</t>
  </si>
  <si>
    <t>USO Okinawa base center</t>
  </si>
  <si>
    <t>A commission, service, or site-presence record is an administrative or service relation; it is not movement-network membership, a political stance, or a funding chain beyond the stated mechanism.</t>
  </si>
  <si>
    <t>F004</t>
  </si>
  <si>
    <t>USO Okinawa/related service ecosystem</t>
  </si>
  <si>
    <t>F005</t>
  </si>
  <si>
    <t>USO Okinawa Kadena presence</t>
  </si>
  <si>
    <t>F006</t>
  </si>
  <si>
    <t>Structural affiliation</t>
  </si>
  <si>
    <t>Network membership</t>
  </si>
  <si>
    <t>NOSCO as AWWA member club</t>
  </si>
  <si>
    <t>Not applicable (membership)</t>
  </si>
  <si>
    <t>2012 and current official page</t>
  </si>
  <si>
    <t>Supported</t>
  </si>
  <si>
    <t>S041; S055; S072</t>
  </si>
  <si>
    <t>The structural arrow does not show control, funding, political alliance, common policy position, or influence direction; this row does not establish a current fixed total of five clubs.</t>
  </si>
  <si>
    <t>F007</t>
  </si>
  <si>
    <t>KOSC as AWWA member club</t>
  </si>
  <si>
    <t>S041; S055; S072; S075</t>
  </si>
  <si>
    <t>Membership is not funding; KOSC→AWWA financial contribution is separately encoded in F025; this relation does not show political alliance or control.</t>
  </si>
  <si>
    <t>F009</t>
  </si>
  <si>
    <t>Service</t>
  </si>
  <si>
    <t>Red Cross volunteer program</t>
  </si>
  <si>
    <t>F010</t>
  </si>
  <si>
    <t>Emergency assistance / relief society office</t>
  </si>
  <si>
    <t>F011</t>
  </si>
  <si>
    <t>Coordination &amp; co-action</t>
  </si>
  <si>
    <t>Event collaboration</t>
  </si>
  <si>
    <t>Event Participation</t>
  </si>
  <si>
    <t>ONC and JICA Okinawa international-cooperation festival collaboration</t>
  </si>
  <si>
    <t>S095</t>
  </si>
  <si>
    <t>A documented coordination, partnership, or joint action record is not a stable alliance, a funding relation, or a shared policy position.</t>
  </si>
  <si>
    <t>F012</t>
  </si>
  <si>
    <t>Lead</t>
  </si>
  <si>
    <t>Grant opportunity (lead)</t>
  </si>
  <si>
    <t>Research Lead</t>
  </si>
  <si>
    <t>unknown_recipient</t>
  </si>
  <si>
    <t>Unknown Recipient</t>
  </si>
  <si>
    <t>Okinawa Youth Council Program</t>
  </si>
  <si>
    <t>This row is a research lead (opportunity, co-presence, or unknown recipient), not a confirmed relation or funding fact; it never enters the organization relation graph.</t>
  </si>
  <si>
    <t>F013</t>
  </si>
  <si>
    <t>Co Presence Observation</t>
  </si>
  <si>
    <t>Peace Movement Center and Henoko protest field co-presence lead</t>
  </si>
  <si>
    <t>F014</t>
  </si>
  <si>
    <t>Coordination</t>
  </si>
  <si>
    <t>Peace Movement Center and anti-war landowner coordination</t>
  </si>
  <si>
    <t>F015</t>
  </si>
  <si>
    <t>All-island conference and Peace Movement Center coordination</t>
  </si>
  <si>
    <t>S029; S031</t>
  </si>
  <si>
    <t>F016</t>
  </si>
  <si>
    <t>Partnership</t>
  </si>
  <si>
    <t>ND and Okinawa Bar Association joint policy events</t>
  </si>
  <si>
    <t>F017</t>
  </si>
  <si>
    <t>Organizational affiliation</t>
  </si>
  <si>
    <t>Kanto branch of anti-war landowner movement</t>
  </si>
  <si>
    <t>Membership or organizational affiliation does not show control, funding, political alliance, or a common policy position.</t>
  </si>
  <si>
    <t>F018</t>
  </si>
  <si>
    <t>Henoko soil council and Henoko construction opposition coordination</t>
  </si>
  <si>
    <t>F019</t>
  </si>
  <si>
    <t>Administrative collaboration</t>
  </si>
  <si>
    <t>ONC international cooperation coordination with prefectural government</t>
  </si>
  <si>
    <t>F020</t>
  </si>
  <si>
    <t>Legal collaboration</t>
  </si>
  <si>
    <t>Legal support</t>
  </si>
  <si>
    <t>Bar association support for referendum legal process</t>
  </si>
  <si>
    <t>S025; S037</t>
  </si>
  <si>
    <t>A legal counsel or legal support relation is case-specific and does not by itself prove a stable alliance.</t>
  </si>
  <si>
    <t>F021</t>
  </si>
  <si>
    <t>OESC donates $3250 to USO Okinawa Dec 2025</t>
  </si>
  <si>
    <t>3250</t>
  </si>
  <si>
    <t>USD</t>
  </si>
  <si>
    <t>Direct charitable donation</t>
  </si>
  <si>
    <t>2025-12-02</t>
  </si>
  <si>
    <t>S053</t>
  </si>
  <si>
    <t>One charitable donation does not establish long-term sponsorship, a stable alliance, a base-policy position, or political influence.</t>
  </si>
  <si>
    <t>F022</t>
  </si>
  <si>
    <t>OESC as AWWA member club</t>
  </si>
  <si>
    <t>S041; S055</t>
  </si>
  <si>
    <t>Membership is not funding; F008 must not be restored; this relation does not show political alliance or a common policy position.</t>
  </si>
  <si>
    <t>F023</t>
  </si>
  <si>
    <t>MOSCO as AWWA member club</t>
  </si>
  <si>
    <t>S041; S055; S079</t>
  </si>
  <si>
    <t>MOSC and MOSCO are name forms of the same organization and do not create another actor; membership is not funding, control, or political alliance.</t>
  </si>
  <si>
    <t>F024</t>
  </si>
  <si>
    <t>Army Community Group of Okinawa as historical AWWA member</t>
  </si>
  <si>
    <t>Not a funding relation</t>
  </si>
  <si>
    <t>A documented organizational relation does not by itself establish alliance, control, influence, or a shared political position.</t>
  </si>
  <si>
    <t>F025</t>
  </si>
  <si>
    <t>KOSC reported prior-year donations to scholarships and AWWA</t>
  </si>
  <si>
    <t>Named contribution</t>
  </si>
  <si>
    <t>S075</t>
  </si>
  <si>
    <t>The graph may show a KOSC→AWWA contribution with amount not public; USD 102,000 must not be attached to this edge, scholarships are not one actor, and the contribution does not imply alliance or control.</t>
  </si>
  <si>
    <t>F026</t>
  </si>
  <si>
    <t>Grant</t>
  </si>
  <si>
    <t>AWWA grant to USO Kinser kitchen refresh project</t>
  </si>
  <si>
    <t>S077</t>
  </si>
  <si>
    <t>F027</t>
  </si>
  <si>
    <t>Aggregate Financial History Observation</t>
  </si>
  <si>
    <t>Aggregate Observation</t>
  </si>
  <si>
    <t>unknown_okinawa_welfare_facilities</t>
  </si>
  <si>
    <t>Unknown Okinawa Welfare Facilities</t>
  </si>
  <si>
    <t>Aggregate long-term donations to Okinawa welfare facilities</t>
  </si>
  <si>
    <t>800000000</t>
  </si>
  <si>
    <t>JPY</t>
  </si>
  <si>
    <t>Approx. 40-year aggregate; no year or recipient allocation</t>
  </si>
  <si>
    <t>S078</t>
  </si>
  <si>
    <t>Aggregate observations cannot be allocated to specific recipients, years, or organizations without additional records.</t>
  </si>
  <si>
    <t>F028</t>
  </si>
  <si>
    <t>In-kind donation</t>
  </si>
  <si>
    <t>R_yomitan_quegoen</t>
  </si>
  <si>
    <t>R Yomitan Quegoen</t>
  </si>
  <si>
    <t>Documented in-kind donation observation</t>
  </si>
  <si>
    <t>2000000</t>
  </si>
  <si>
    <t>In-kind item value</t>
  </si>
  <si>
    <t>2015-12-02</t>
  </si>
  <si>
    <t>S094</t>
  </si>
  <si>
    <t>An administrative, service, or site record does not imply movement membership, political stance, or a funding chain.</t>
  </si>
  <si>
    <t>F029</t>
  </si>
  <si>
    <t>R_uruma_social_welfare</t>
  </si>
  <si>
    <t>R Uruma Social Welfare</t>
  </si>
  <si>
    <t>S072</t>
  </si>
  <si>
    <t>F030</t>
  </si>
  <si>
    <t>In-kind acquisition assistance</t>
  </si>
  <si>
    <t>R_boy_scouts_far_east</t>
  </si>
  <si>
    <t>R Boy Scouts Far East</t>
  </si>
  <si>
    <t>AWWA helped Far East Council acquire kayaks; date and quantity unstated</t>
  </si>
  <si>
    <t>No amount</t>
  </si>
  <si>
    <t>F031</t>
  </si>
  <si>
    <t>Commission</t>
  </si>
  <si>
    <t>MOFA_ngo_consultant_program</t>
  </si>
  <si>
    <t>Mofa Ngo Consultant Program</t>
  </si>
  <si>
    <t>ONC as MOFA-designated NGO consultant (FY2024 commission; FY2026 designation continuity)</t>
  </si>
  <si>
    <t>Organization project cost</t>
  </si>
  <si>
    <t>S095; S096; S099; S101</t>
  </si>
  <si>
    <t>F032</t>
  </si>
  <si>
    <t>Okinawa_Pref_multicultural_project</t>
  </si>
  <si>
    <t>Okinawa Pref Multicultural Project</t>
  </si>
  <si>
    <t>Okinawa Prefecture multicultural policy-conference support commission FY2024</t>
  </si>
  <si>
    <t>Whole-program cost</t>
  </si>
  <si>
    <t>S095; S099</t>
  </si>
  <si>
    <t>F033</t>
  </si>
  <si>
    <t>Okinawa_City</t>
  </si>
  <si>
    <t>Okinawa City Koza International Plaza management commissions (FY2019, FY2020 and FY2024 observations)</t>
  </si>
  <si>
    <t>Multi-year commission amounts remain in R10 table</t>
  </si>
  <si>
    <t>F034</t>
  </si>
  <si>
    <t>Mediatti_Broadband_MBC</t>
  </si>
  <si>
    <t>Mediatti Broadband Mbc</t>
  </si>
  <si>
    <t>MBC Okinawa — USO Okinawa Platinum Sponsor</t>
  </si>
  <si>
    <t>Sponsor tier and support types; no amount</t>
  </si>
  <si>
    <t>S097</t>
  </si>
  <si>
    <t>This is a research lead, not a confirmed relation or funding fact.</t>
  </si>
  <si>
    <t>F035</t>
  </si>
  <si>
    <t>Matson</t>
  </si>
  <si>
    <t>P_R10_USO_INDO_PACIFIC</t>
  </si>
  <si>
    <t>P R10 Uso Indo Pacific</t>
  </si>
  <si>
    <t>Matson — USO Indo-Pacific Mission Partner</t>
  </si>
  <si>
    <t>Sponsor tier; no amount or Okinawa allocation</t>
  </si>
  <si>
    <t>F036</t>
  </si>
  <si>
    <t>Joint in-kind contribution</t>
  </si>
  <si>
    <t>R_heshikiya_after_school_childcare</t>
  </si>
  <si>
    <t>R Heshikiya After School Childcare</t>
  </si>
  <si>
    <t>Joint delivery of three industrial cooling fans to an unidentified Heshikiya-area after-school childcare center</t>
  </si>
  <si>
    <t>No amount or contributor-share allocation</t>
  </si>
  <si>
    <t>2025-08-15</t>
  </si>
  <si>
    <t>S102</t>
  </si>
  <si>
    <t>Joint participation is event-specific and does not by itself establish a stable alliance.</t>
  </si>
  <si>
    <t>F037</t>
  </si>
  <si>
    <t>Documented network membership observation</t>
  </si>
  <si>
    <t>F038</t>
  </si>
  <si>
    <t>F039</t>
  </si>
  <si>
    <t>Legal counsel</t>
  </si>
  <si>
    <t>Futenma base noise litigation</t>
  </si>
  <si>
    <t>F040</t>
  </si>
  <si>
    <t>Event affiliation</t>
  </si>
  <si>
    <t>Metropolitan Henoko soil-reclamation opposition actions from 2018</t>
  </si>
  <si>
    <t>S126</t>
  </si>
  <si>
    <t>F041</t>
  </si>
  <si>
    <t>Partner action</t>
  </si>
  <si>
    <t>JAWAN-recorded metropolitan Henoko campaign action</t>
  </si>
  <si>
    <t>S127</t>
  </si>
  <si>
    <t>F042</t>
  </si>
  <si>
    <t>Fourth Kadena Base Noise Injunction Lawsuit</t>
  </si>
  <si>
    <t>S149; S151; S152</t>
  </si>
  <si>
    <t>F043</t>
  </si>
  <si>
    <t>Japan YWCA regional-YWCA structure — Okinawa YWCA</t>
  </si>
  <si>
    <t>S144; S145</t>
  </si>
  <si>
    <t>R10R029</t>
  </si>
  <si>
    <t>Aggregate financial contribution</t>
  </si>
  <si>
    <t>P_R10_KOSC_MIXED_RECIPIENTS</t>
  </si>
  <si>
    <t>P R10 Kosc Mixed Recipients</t>
  </si>
  <si>
    <t>Documented aggregate financial contribution observation</t>
  </si>
  <si>
    <t>102000</t>
  </si>
  <si>
    <t>Aggregate mixed recipients</t>
  </si>
  <si>
    <t>prior year stated on undated/current webpage</t>
  </si>
  <si>
    <t>The aggregate cannot be allocated to AWWA, any scholarship recipient, or any inferred single recipient; it does not enter the organization relation graph.</t>
  </si>
  <si>
    <t>Legal and Policy Procedure Cases</t>
  </si>
  <si>
    <t>Six human-checked cases. Procedural entry, intermediate output, bounded gain, and underlying project change are kept separate.</t>
  </si>
  <si>
    <t>Case ID</t>
  </si>
  <si>
    <t>Case</t>
  </si>
  <si>
    <t>Jurisdiction</t>
  </si>
  <si>
    <t>Channel</t>
  </si>
  <si>
    <t>Procedure</t>
  </si>
  <si>
    <t>Start Date</t>
  </si>
  <si>
    <t>Decision Date</t>
  </si>
  <si>
    <t>Target Institution</t>
  </si>
  <si>
    <t>Claim Summary</t>
  </si>
  <si>
    <t>Outcome Summary</t>
  </si>
  <si>
    <t>R8C01</t>
  </si>
  <si>
    <t>Okinawa Dugong v. Rumsfeld / Center for Biological Diversity v. Esper</t>
  </si>
  <si>
    <t>Henoko; Oura Bay</t>
  </si>
  <si>
    <t>United States; N.D. California; Ninth Circuit</t>
  </si>
  <si>
    <t>International legal</t>
  </si>
  <si>
    <t>APA review of NHPA Section 402 compliance</t>
  </si>
  <si>
    <t>2003-09-25</t>
  </si>
  <si>
    <t>2020-05-06</t>
  </si>
  <si>
    <t>Environmental organizations and Okinawan individuals alleged that DoD failed to take into account effects of the Futenma Replacement Facility on the culturally protected Okinawa dugong under NHPA Section 402.</t>
  </si>
  <si>
    <t>The litigation established that Section 402 applied to the dugong and generated a reviewable procedural standard; after remand the Ninth Circuit in 2020 affirmed summary judgment for DoD and held the Department had complied with the take-into-account requirement.</t>
  </si>
  <si>
    <t>S093;S128;S129</t>
  </si>
  <si>
    <t>HR-014 human check: the procedural route and information-production effect are accepted even though plaintiffs did not stop construction. Party roles are case-specific: A020 is a plaintiff and A009 is counsel here; A002 and A019 remain non-parties and must not inherit a plaintiff role from associated people or advocacy activity.</t>
  </si>
  <si>
    <t>R8C02</t>
  </si>
  <si>
    <t>Futenma Replacement Facility Henoko environmental impact assessment procedure</t>
  </si>
  <si>
    <t>Japan; Okinawa Prefecture</t>
  </si>
  <si>
    <t>Eia Administrative</t>
  </si>
  <si>
    <t>method statement; draft EIA; corrected final EIA; formal environmental comments</t>
  </si>
  <si>
    <t>2004-06-10</t>
  </si>
  <si>
    <t>2013-02-12</t>
  </si>
  <si>
    <t>Okinawa Defense Bureau; Minister of Defense; Minister of Environment; Governor of Okinawa</t>
  </si>
  <si>
    <t>NACSJ and other civil-society actors challenged survey design and later the corrected EIA on coral-reef ecology biodiversity dugong and adequacy of impact prediction and mitigation.</t>
  </si>
  <si>
    <t>Okinawa Defense Bureau completed and published the corrected EIA under the national act and prefectural ordinance; NACSJ submitted formal comments at method-statement and corrected-EIA stages. The procedure did not itself stop the replacement-facility project.</t>
  </si>
  <si>
    <t>S130;S131;S132</t>
  </si>
  <si>
    <t>HR-014 human check: the EIA procedure and NACSJ's dated commenter role are accepted. The existence of the procedure does not prove that every civic actor used it, and a formal comment does not establish that the proponent or review authority adopted the comment.</t>
  </si>
  <si>
    <t>R8C03</t>
  </si>
  <si>
    <t>Third Kadena Air Base noise injunction litigation</t>
  </si>
  <si>
    <t>Kadena; Chatan; Okinawa City</t>
  </si>
  <si>
    <t>Japan; Naha District Court Okinawa Branch; Fukuoka High Court Naha Branch</t>
  </si>
  <si>
    <t>Noise civil litigation</t>
  </si>
  <si>
    <t>injunction and damages litigation against Japan</t>
  </si>
  <si>
    <t>2011-04</t>
  </si>
  <si>
    <t>2019-09-11</t>
  </si>
  <si>
    <t>Residents sought restrictions on aircraft operations/noise reaching their homes and damages for past and future harm based on personality environmental and peaceful-life interests and state liability/special civil law.</t>
  </si>
  <si>
    <t>The appellate judgment rejected operational/noise injunctions and future-damages claims but maintained compensation for eligible past noise harm; the court described severe continuing noise and prior judicial findings of illegality.</t>
  </si>
  <si>
    <t>S133;S134</t>
  </si>
  <si>
    <t>HR-014 human check: the resident-plaintiff claims and case-specific outcome are accepted. A052 is accepted as the Third Kadena plaintiff-group crosswalk, but individual membership and participant identity must not be generalized across litigation rounds. The Third Kadena counsel group remains a role-table procedural collective and is not an actor-registry entry.</t>
  </si>
  <si>
    <t>R8C04</t>
  </si>
  <si>
    <t>Futenma Airfield neighborhood noise damages litigation (2018/2020 joined actions)</t>
  </si>
  <si>
    <t>Japan; Naha District Court Okinawa Branch</t>
  </si>
  <si>
    <t>damages litigation under Special Civil Act Article 2</t>
  </si>
  <si>
    <t>2018</t>
  </si>
  <si>
    <t>2022-03-10</t>
  </si>
  <si>
    <t>Residents and heirs alleged aircraft noise caused disturbance of daily life sleep health anxiety and mental harm and sought monthly damages.</t>
  </si>
  <si>
    <t>The court ordered Japan to compensate listed plaintiffs for specified periods and dismissed the remainder. The judgment records earlier first and second Futenma noise cases in which portions of past-damages claims were also accepted and later finalized.</t>
  </si>
  <si>
    <t>S135;S136</t>
  </si>
  <si>
    <t>HR-014 human check: the resident-plaintiff claims and partial-damages outcome are accepted. A053 is accepted as the Futenma plaintiff-group crosswalk, but the two joined actions and other litigation rounds do not imply identical individual membership. Counsel and plaintiff group remain distinct roles.</t>
  </si>
  <si>
    <t>R8C05</t>
  </si>
  <si>
    <t>Ishigaki GSDF-deployment referendum implementation litigation</t>
  </si>
  <si>
    <t>Ishigaki; Hirae-Omata</t>
  </si>
  <si>
    <t>Japan; Naha District Court</t>
  </si>
  <si>
    <t>Referendum Ordinance Administrative</t>
  </si>
  <si>
    <t>inaction illegality confirmation and mandatory-order litigation</t>
  </si>
  <si>
    <t>2019-09</t>
  </si>
  <si>
    <t>2020-08-27</t>
  </si>
  <si>
    <t>Mayor of Ishigaki; Ishigaki City</t>
  </si>
  <si>
    <t>Residents argued that a request backed by more than one quarter of electors triggered the mayor's duty under Ishigaki Basic Autonomy Ordinance Article 28 to hold a referendum on GSDF deployment and sought confirmation of illegality plus a mandatory order.</t>
  </si>
  <si>
    <t>The Naha District Court dismissed all actions because holding the referendum was not an administrative disposition subject to a mandatory-order action. The city council had previously rejected the referendum ordinance bill on 2019-02-01.</t>
  </si>
  <si>
    <t>S137;S138;S139</t>
  </si>
  <si>
    <t>HR-014 human check: the mandatory-order dismissal and anonymized individual-plaintiff category are accepted. A011 is the referendum requester/campaign body, not a named organizational plaintiff. Council rejection and the mayoral implementation-duty claim are distinct procedural steps.</t>
  </si>
  <si>
    <t>R8C06</t>
  </si>
  <si>
    <t>Awase tidal-flat landfill public-funds resident litigation (first and second waves)</t>
  </si>
  <si>
    <t>Awase tidal flat; Okinawa City</t>
  </si>
  <si>
    <t>Japan; Naha District Court; Fukuoka High Court Naha Branch; Supreme Court</t>
  </si>
  <si>
    <t>Resident Public Funds Litigation</t>
  </si>
  <si>
    <t>resident audit and injunction against public expenditure/contracts for landfill and marine development</t>
  </si>
  <si>
    <t>2005-05-20</t>
  </si>
  <si>
    <t>2017-10-18</t>
  </si>
  <si>
    <t>Governor of Okinawa; Mayor of Okinawa City</t>
  </si>
  <si>
    <t>Residents challenged public expenditure contracts and obligations for the Awase landfill and marine development alleging defects in economic rationality environmental assessment and environmental/disaster-risk review.</t>
  </si>
  <si>
    <t>The first-wave district judgment restricted future public spending absent a rational revised plan. In the second wave residents lost on appeal and the Supreme Court rejected the appeal/petition in 2017 leaving the later project-side judgment in place.</t>
  </si>
  <si>
    <t>S140;S141;S142;S143</t>
  </si>
  <si>
    <t>HR-014 human check: first- and second-wave outcomes remain separate and must not be reduced to one win/loss. A055 and A020 are accepted as case-specific supporters/material hosts, not organizational plaintiffs or counsel. A020's plaintiff role in the Dugong case must not be generalized to the Awase case.</t>
  </si>
  <si>
    <t>Case-Specific Legal Roles</t>
  </si>
  <si>
    <t>Twenty-seven human-checked case roles. Registered actors and provisional procedural nodes remain distinct.</t>
  </si>
  <si>
    <t>Role ID</t>
  </si>
  <si>
    <t>Entity ID</t>
  </si>
  <si>
    <t>Entity</t>
  </si>
  <si>
    <t>Entity Kind</t>
  </si>
  <si>
    <t>Role Family</t>
  </si>
  <si>
    <t>Side</t>
  </si>
  <si>
    <t>Target or Recipient</t>
  </si>
  <si>
    <t>Evidence Summary</t>
  </si>
  <si>
    <t>R8R001</t>
  </si>
  <si>
    <t>Registered actor</t>
  </si>
  <si>
    <t>Plaintiff</t>
  </si>
  <si>
    <t>Claimant</t>
  </si>
  <si>
    <t>Named organizational plaintiff/appellant in Ninth Circuit official opinions.</t>
  </si>
  <si>
    <t>Party role is case-specific and does not by itself prove a stable alliance.</t>
  </si>
  <si>
    <t>R8R002</t>
  </si>
  <si>
    <t>Named organizational plaintiff/appellant in Ninth Circuit official opinion.</t>
  </si>
  <si>
    <t>S128</t>
  </si>
  <si>
    <t>Party role is case-specific.</t>
  </si>
  <si>
    <t>R8R003</t>
  </si>
  <si>
    <t>Named organizational plaintiff/appellant; JELF is a plaintiff here rather than counsel.</t>
  </si>
  <si>
    <t>S128;S062</t>
  </si>
  <si>
    <t>HR-014: A020 is a named plaintiff in this Dugong case, not counsel. This case-specific plaintiff role does not transfer to Awase or other litigation.</t>
  </si>
  <si>
    <t>R8R004</t>
  </si>
  <si>
    <t>Named organizational plaintiff/appellant in the official appellate opinion and litigation material.</t>
  </si>
  <si>
    <t>Distinct from A002 SDCC.</t>
  </si>
  <si>
    <t>R8R005</t>
  </si>
  <si>
    <t>Counsel</t>
  </si>
  <si>
    <t>Earthjustice formal case page identifies the organization as counsel representing plaintiffs.</t>
  </si>
  <si>
    <t>S062</t>
  </si>
  <si>
    <t>HR-014: Earthjustice is counsel in this case and is not a named plaintiff.</t>
  </si>
  <si>
    <t>R8R006</t>
  </si>
  <si>
    <t>Non Party</t>
  </si>
  <si>
    <t>Support Context</t>
  </si>
  <si>
    <t>Not included in the official appellate opinion's list of organizational plaintiffs; retained as an advocacy actor outside the party list.</t>
  </si>
  <si>
    <t>HR-014: A002 remains a non-party here. The negative role prevents a false plaintiff label and does not deny advocacy outside the case.</t>
  </si>
  <si>
    <t>R8R007</t>
  </si>
  <si>
    <t>The organization is not listed as a plaintiff; an associated individual may have a personal party role but that cannot be transferred to the organization.</t>
  </si>
  <si>
    <t>S093;S128</t>
  </si>
  <si>
    <t>HR-014: A019 remains a non-party. An associated individual's personal role must not be transferred to the organization.</t>
  </si>
  <si>
    <t>R8R008</t>
  </si>
  <si>
    <t>Commenter</t>
  </si>
  <si>
    <t>Commenting Organization</t>
  </si>
  <si>
    <t>Okinawa Defense Bureau; national and prefectural officials</t>
  </si>
  <si>
    <t>NACSJ issued dated formal comments on the 2004 method statement and the 2013 corrected EIA citing coral-reef biodiversity dugong survey and prediction deficiencies.</t>
  </si>
  <si>
    <t>S131;S132</t>
  </si>
  <si>
    <t>Formal comments prove procedural use not acceptance by the proponent.</t>
  </si>
  <si>
    <t>R8R009</t>
  </si>
  <si>
    <t>P8E001</t>
  </si>
  <si>
    <t>Procedure Proponent</t>
  </si>
  <si>
    <t>Proponent</t>
  </si>
  <si>
    <t>Respondent Or Proponent</t>
  </si>
  <si>
    <t>Public; Okinawa Prefecture</t>
  </si>
  <si>
    <t>Official Defense Bureau site publishes the corrected EIA and related volumes under the national act and prefectural ordinance.</t>
  </si>
  <si>
    <t>S130</t>
  </si>
  <si>
    <t>Government proponent is a procedural node not a civic actor.</t>
  </si>
  <si>
    <t>R8R010</t>
  </si>
  <si>
    <t>P8E002</t>
  </si>
  <si>
    <t>Governor of Okinawa</t>
  </si>
  <si>
    <t>Comment Recipient And Review Authority</t>
  </si>
  <si>
    <t>Institutional Recipient</t>
  </si>
  <si>
    <t>The formal NACSJ submission addressed the governor and the corrected EIA records the prefectural review context.</t>
  </si>
  <si>
    <t>S130;S131</t>
  </si>
  <si>
    <t>Receipt/review role is not evidence that the governor adopted the NGO's conclusions.</t>
  </si>
  <si>
    <t>R8R011</t>
  </si>
  <si>
    <t>P8E003</t>
  </si>
  <si>
    <t>Kadena-area resident plaintiffs</t>
  </si>
  <si>
    <t>Procedural collective</t>
  </si>
  <si>
    <t>Official court judgment describes residents/former residents and heirs as plaintiffs seeking injunction and damages.</t>
  </si>
  <si>
    <t>S133</t>
  </si>
  <si>
    <t>Individual plaintiffs are represented as a collective procedural role; no person registry is created.</t>
  </si>
  <si>
    <t>R8R012</t>
  </si>
  <si>
    <t>Plaintiff Group</t>
  </si>
  <si>
    <t>National Diet Library catalog identifies the Third Kadena Base Noise Injunction Litigation plaintiffs' group as author and the counsel group as publisher of the 2011-2022 litigation record.</t>
  </si>
  <si>
    <t>S134</t>
  </si>
  <si>
    <t>HR-014: A052 is accepted as the case-specific plaintiff-group crosswalk. Do not infer that every named resident was a formal member or that participant identity is constant across rounds.</t>
  </si>
  <si>
    <t>R8R013</t>
  </si>
  <si>
    <t>P8E004</t>
  </si>
  <si>
    <t>Third Kadena litigation counsel group</t>
  </si>
  <si>
    <t>National Diet Library catalog identifies the counsel group as publisher of the formal litigation record.</t>
  </si>
  <si>
    <t>HR-014: counsel role accepted as a Third Kadena procedural collective. No actor-registry entry or complete individual-lawyer roster is created.</t>
  </si>
  <si>
    <t>R8R014</t>
  </si>
  <si>
    <t>P8E005</t>
  </si>
  <si>
    <t>Respondent</t>
  </si>
  <si>
    <t>Kadena resident plaintiffs</t>
  </si>
  <si>
    <t>Named defendant responsible for provision of the U.S. facility under treaty arrangements in the official judgment.</t>
  </si>
  <si>
    <t>Does not imply operational control over every aircraft movement for injunction purposes.</t>
  </si>
  <si>
    <t>R8R015</t>
  </si>
  <si>
    <t>P8E006</t>
  </si>
  <si>
    <t>Futenma-area resident plaintiffs</t>
  </si>
  <si>
    <t>Official 2022 judgment identifies residents/former residents and heirs in two joined damages actions.</t>
  </si>
  <si>
    <t>S135</t>
  </si>
  <si>
    <t>Individual plaintiffs are not separately entered into the actor registry.</t>
  </si>
  <si>
    <t>R8R016</t>
  </si>
  <si>
    <t>Counsel's office formally identifies A053 as the plaintiff group and names the third Futenma case filed on 2020-12-25.</t>
  </si>
  <si>
    <t>S136</t>
  </si>
  <si>
    <t>HR-014: A053 is accepted as the case-specific Futenma plaintiff-group crosswalk. The joined actions and other rounds do not imply identical individual membership.</t>
  </si>
  <si>
    <t>R8R017</t>
  </si>
  <si>
    <t>P8E007</t>
  </si>
  <si>
    <t>Procedural entity P8E007</t>
  </si>
  <si>
    <t>External organization</t>
  </si>
  <si>
    <t>Counsel Secretariat</t>
  </si>
  <si>
    <t>The law office states that it serves as secretariat for the Futenma litigation counsel team.</t>
  </si>
  <si>
    <t>HR-014: the office's counsel-secretariat role is accepted; it does not make the office the sole counsel or a plaintiff.</t>
  </si>
  <si>
    <t>R8R018</t>
  </si>
  <si>
    <t>Futenma resident plaintiffs</t>
  </si>
  <si>
    <t>Official judgment names Japan as defendant under the Special Civil Act claim.</t>
  </si>
  <si>
    <t>Case outcome concerns damages and does not establish an operational injunction.</t>
  </si>
  <si>
    <t>R8R019</t>
  </si>
  <si>
    <t>P8E008</t>
  </si>
  <si>
    <t>Ishigaki resident representatives and signatories</t>
  </si>
  <si>
    <t>Official judgment states that 27 request representatives and three signatories brought the mandatory-order claims; plaintiffs are anonymized.</t>
  </si>
  <si>
    <t>S137</t>
  </si>
  <si>
    <t>Do not infer organizational plaintiff status from individual participation.</t>
  </si>
  <si>
    <t>R8R020</t>
  </si>
  <si>
    <t>Requester</t>
  </si>
  <si>
    <t>Civic Campaign</t>
  </si>
  <si>
    <t>Mayor of Ishigaki; Ishigaki City Council</t>
  </si>
  <si>
    <t>Official city records confirm the referendum ordinance request and council action; the movement's formal materials connect the campaign to later litigation arguments.</t>
  </si>
  <si>
    <t>S138;S139</t>
  </si>
  <si>
    <t>HR-014: A011 is accepted as requester/campaign body and is explicitly not a named organizational plaintiff without a pleading.</t>
  </si>
  <si>
    <t>R8R021</t>
  </si>
  <si>
    <t>P8E009</t>
  </si>
  <si>
    <t>Procedural entity P8E009</t>
  </si>
  <si>
    <t>Person</t>
  </si>
  <si>
    <t>Formal counsel opinion identifies Oi as plaintiffs' attorney in the related status-confirmation litigation and describes the legal claims.</t>
  </si>
  <si>
    <t>S139</t>
  </si>
  <si>
    <t>HR-014: counsel role is limited to the related later status-confirmation phase and is not automatically transferred to every claim in the 2020 mandatory-order judgment.</t>
  </si>
  <si>
    <t>R8R022</t>
  </si>
  <si>
    <t>P8E010</t>
  </si>
  <si>
    <t>Ishigaki City and Mayor</t>
  </si>
  <si>
    <t>Public institution set</t>
  </si>
  <si>
    <t>Defendant And Target</t>
  </si>
  <si>
    <t>Ishigaki residents</t>
  </si>
  <si>
    <t>Official judgment identifies Ishigaki City as defendant and the mayor's alleged inaction/implementation duty as target.</t>
  </si>
  <si>
    <t>Council rejection and mayoral implementation duty are distinct institutional steps.</t>
  </si>
  <si>
    <t>R8R023</t>
  </si>
  <si>
    <t>P8E011</t>
  </si>
  <si>
    <t>Awase resident plaintiffs</t>
  </si>
  <si>
    <t>Official judgments and JELF-hosted formal statement identify resident plaintiffs challenging public expenditure.</t>
  </si>
  <si>
    <t>S140;S142</t>
  </si>
  <si>
    <t>First- and second-wave plaintiff populations require separate person-level records if later needed.</t>
  </si>
  <si>
    <t>R8R024</t>
  </si>
  <si>
    <t>P8E012</t>
  </si>
  <si>
    <t>Awase litigation counsel group</t>
  </si>
  <si>
    <t>Formal 2017 statement is signed by the second Awase plaintiffs and counsel groups.</t>
  </si>
  <si>
    <t>S142</t>
  </si>
  <si>
    <t>The statement does not provide a full attorney roster.</t>
  </si>
  <si>
    <t>R8R025</t>
  </si>
  <si>
    <t>Supporter</t>
  </si>
  <si>
    <t>Movement Support</t>
  </si>
  <si>
    <t>Awase resident litigation</t>
  </si>
  <si>
    <t>Formal JELF page identifies the group's co-representative at the plaintiffs/counsel press conference; it does not name A055 as an organizational plaintiff.</t>
  </si>
  <si>
    <t>HR-014: A055 is a case-specific supporter, not an organizational plaintiff or counsel.</t>
  </si>
  <si>
    <t>R8R026</t>
  </si>
  <si>
    <t>Legal Network</t>
  </si>
  <si>
    <t>JELF published the formal plaintiffs/counsel statement and documents the case; the page does not establish JELF as named counsel or plaintiff.</t>
  </si>
  <si>
    <t>HR-014: A020 is a supporter/formal-material host in Awase, not plaintiff or counsel. Its Dugong-case plaintiff role must not be generalized across cases.</t>
  </si>
  <si>
    <t>R8R027</t>
  </si>
  <si>
    <t>P8E013</t>
  </si>
  <si>
    <t>Defendant Officials And Targets</t>
  </si>
  <si>
    <t>Official court record identifies the challenged prefectural and municipal public-expenditure decisions.</t>
  </si>
  <si>
    <t>S140;S143</t>
  </si>
  <si>
    <t>Institutional defendants are not civic actors.</t>
  </si>
  <si>
    <t>Source Register</t>
  </si>
  <si>
    <t>295 source records with public URLs and archive status. Source inclusion does not approve an actor, relation, alliance, funding claim, or interpretation.</t>
  </si>
  <si>
    <t>Source Type</t>
  </si>
  <si>
    <t>English Source Label</t>
  </si>
  <si>
    <t>Archive Status</t>
  </si>
  <si>
    <t>Research Use</t>
  </si>
  <si>
    <t>URL</t>
  </si>
  <si>
    <t>S001</t>
  </si>
  <si>
    <t>Official portal</t>
  </si>
  <si>
    <t>Official portal record (2026)</t>
  </si>
  <si>
    <t>Archived</t>
  </si>
  <si>
    <t>official NPO information entry point</t>
  </si>
  <si>
    <t>https://www.pref.okinawa.jp/kurashikankyo/katsudo/1004889/1004890.html</t>
  </si>
  <si>
    <t>S002</t>
  </si>
  <si>
    <t>Official data</t>
  </si>
  <si>
    <t>Official data record (2026)</t>
  </si>
  <si>
    <t>administrative collaboration/resource-channel module</t>
  </si>
  <si>
    <t>https://www.pref.okinawa.lg.jp/_res/projects/default_project/_page_/001/004/917/2r6hp.pdf</t>
  </si>
  <si>
    <t>NGO statement</t>
  </si>
  <si>
    <t>NGO statement record (2010)</t>
  </si>
  <si>
    <t>alliance network; environment-base linkage</t>
  </si>
  <si>
    <t>https://www.wwf.or.jp/activities/statement/3436.html</t>
  </si>
  <si>
    <t>NGO statement record (2015)</t>
  </si>
  <si>
    <t>Henoko environmental coalition; signatory actor seed</t>
  </si>
  <si>
    <t>https://www.nacsj.or.jp/statement/50827/</t>
  </si>
  <si>
    <t>Peace Boat statement on Henoko emergency NGO declaration</t>
  </si>
  <si>
    <t>peace/environment/base issue bridge</t>
  </si>
  <si>
    <t>https://peaceboat.org/3620.html</t>
  </si>
  <si>
    <t>OEJP 71 organizations MMC request</t>
  </si>
  <si>
    <t>transnational advocacy; dugong; MMC</t>
  </si>
  <si>
    <t>https://okinawaejp.blogspot.com/2020/07/</t>
  </si>
  <si>
    <t>S007</t>
  </si>
  <si>
    <t>Academic article</t>
  </si>
  <si>
    <t>The Plight of the Okinawa Dugong</t>
  </si>
  <si>
    <t>Manually archived</t>
  </si>
  <si>
    <t>OEJP; 71 groups; civil society report</t>
  </si>
  <si>
    <t>https://apjjf.org/2020/16/yoshikawaoejp</t>
  </si>
  <si>
    <t>S008</t>
  </si>
  <si>
    <t>Local news</t>
  </si>
  <si>
    <t>Local news record (2020)</t>
  </si>
  <si>
    <t>local-news confirmation of 71-group MMC request</t>
  </si>
  <si>
    <t>https://ryukyushimpo.jp/news/entry-1154960.html</t>
  </si>
  <si>
    <t>Legal international</t>
  </si>
  <si>
    <t>legal/international route</t>
  </si>
  <si>
    <t>https://earthjustice.org/article/fighting-to-protect-the-dugongs-of-japan-s-henoko-bay</t>
  </si>
  <si>
    <t>S010</t>
  </si>
  <si>
    <t>Local news record (2015)</t>
  </si>
  <si>
    <t>Supports one or more coded actor, issue, place, event, relation, or procedure records.</t>
  </si>
  <si>
    <t>https://www.qab.co.jp/news/2015022363334.html</t>
  </si>
  <si>
    <t>S011</t>
  </si>
  <si>
    <t>https://ryukyushimpo.jp/news/prentry-239307.html</t>
  </si>
  <si>
    <t>S012</t>
  </si>
  <si>
    <t>Official defense</t>
  </si>
  <si>
    <t>Official defense record (Undated)</t>
  </si>
  <si>
    <t>Undated</t>
  </si>
  <si>
    <t>https://www.mod.go.jp/gsdf/station/wa/yonaguni/</t>
  </si>
  <si>
    <t>S013</t>
  </si>
  <si>
    <t>Official defense record (2022)</t>
  </si>
  <si>
    <t>Yonaguni strategic location/security framing</t>
  </si>
  <si>
    <t>https://www.mod.go.jp/j/press/wp/wp2022/html/nc014000.html</t>
  </si>
  <si>
    <t>S014</t>
  </si>
  <si>
    <t>Local official</t>
  </si>
  <si>
    <t>Local official record (2023)</t>
  </si>
  <si>
    <t>Yonaguni distance facts</t>
  </si>
  <si>
    <t>https://www.town.yonaguni.okinawa.jp/docs/2023102400019/file_contents/tyoukieinou.pdf</t>
  </si>
  <si>
    <t>Party News</t>
  </si>
  <si>
    <t>Party News record (2012)</t>
  </si>
  <si>
    <t>https://www.jcp.or.jp/akahata/aik12/2012-08-31/2012083115_02_1.html</t>
  </si>
  <si>
    <t>Local news record (2016)</t>
  </si>
  <si>
    <t>Ishigaki opposing/supporting groups</t>
  </si>
  <si>
    <t>https://ryukyushimpo.jp/news/entry-385092.html</t>
  </si>
  <si>
    <t>Ishigaki environment/life-safety frame</t>
  </si>
  <si>
    <t>https://ryukyushimpo.jp/news/entry-1176922.html</t>
  </si>
  <si>
    <t>Local news record (2019)</t>
  </si>
  <si>
    <t>Ishigaki referendum movement; A011 actor baseline</t>
  </si>
  <si>
    <t>https://www.qab.co.jp/news/20190202110874.html</t>
  </si>
  <si>
    <t>S019</t>
  </si>
  <si>
    <t>Local news record (2018)</t>
  </si>
  <si>
    <t>https://www.yaeyama-nippo.co.jp/archives/4232</t>
  </si>
  <si>
    <t>Miyako 6/11 event executive committee and groundwater/life-safety frame</t>
  </si>
  <si>
    <t>https://ryukyushimpo.jp/news/entry-296563.html</t>
  </si>
  <si>
    <t>Party News record (2016)</t>
  </si>
  <si>
    <t>Miyako anti-missile citizen network existence and activity</t>
  </si>
  <si>
    <t>https://www.jcp.or.jp/akahata/aik19/2019-08-28/2019082814_01_1.html</t>
  </si>
  <si>
    <t>Organization site</t>
  </si>
  <si>
    <t>Organization site record (2023)</t>
  </si>
  <si>
    <t>Okinawa Dialogue Project frontline/Taiwan context</t>
  </si>
  <si>
    <t>https://okinawataiwa.net/</t>
  </si>
  <si>
    <t>Local news record (2022)</t>
  </si>
  <si>
    <t>No More Okinawa War organization formation</t>
  </si>
  <si>
    <t>https://www.qab.co.jp/news/20220321148994.html</t>
  </si>
  <si>
    <t>S024</t>
  </si>
  <si>
    <t>Taiwan contingency / Sakishima militarization concern (framing)</t>
  </si>
  <si>
    <t>Official referendum</t>
  </si>
  <si>
    <t>Official referendum record (2019)</t>
  </si>
  <si>
    <t>https://www.city.nago.okinawa.jp/kurashi/2019020300029/</t>
  </si>
  <si>
    <t>Local news record (2017)</t>
  </si>
  <si>
    <t>Kadena noise litigation third-round ruling</t>
  </si>
  <si>
    <t>https://www.qab.co.jp/news/2017022388152.html</t>
  </si>
  <si>
    <t>Futenma noise litigation second-round ruling</t>
  </si>
  <si>
    <t>https://www.qab.co.jp/news/2016111785307.html</t>
  </si>
  <si>
    <t>Takae helipad construction and civilian protest</t>
  </si>
  <si>
    <t>https://ryukyushimpo.jp/news/entry-315940.html</t>
  </si>
  <si>
    <t>Party News record (2015)</t>
  </si>
  <si>
    <t>All-island conference activity and new-base opposition</t>
  </si>
  <si>
    <t>https://www.jcp.or.jp/akahata/aik15/2015-06-29/2015062903_01_1.html</t>
  </si>
  <si>
    <t>Awase tidal flat reclamation and litigation</t>
  </si>
  <si>
    <t>https://ryukyushimpo.jp/news/prentry-239394.html</t>
  </si>
  <si>
    <t>Organization site record (2026)</t>
  </si>
  <si>
    <t>Okinawa Peace Movement Center organization info</t>
  </si>
  <si>
    <t>http://www.peace-okinawa.net/</t>
  </si>
  <si>
    <t>ND think tank / policy advocacy</t>
  </si>
  <si>
    <t>https://www.nd-initiative.org/</t>
  </si>
  <si>
    <t>Tanji Miyume: Myth Protest and Struggle in Okinawa</t>
  </si>
  <si>
    <t>Skipped non-URL reference</t>
  </si>
  <si>
    <t>Academic analysis of Okinawa protest movements</t>
  </si>
  <si>
    <t>book_reference</t>
  </si>
  <si>
    <t>Organization site record (2010)</t>
  </si>
  <si>
    <t>Opinion ad campaign in national newspapers</t>
  </si>
  <si>
    <t>https://www.okinawaiken.org/</t>
  </si>
  <si>
    <t>S035</t>
  </si>
  <si>
    <t>NPO legal status verification portal</t>
  </si>
  <si>
    <t>https://www.npo-homepage.go.jp/</t>
  </si>
  <si>
    <t>Southwest Islands Peace Network existence and activity</t>
  </si>
  <si>
    <t>https://ryukyushimpo.jp/news/entry-452562.html</t>
  </si>
  <si>
    <t>NGO statement record (2017)</t>
  </si>
  <si>
    <t>Okinawa Bar Association president statement on Henoko</t>
  </si>
  <si>
    <t>https://okiben.org/column/10903/</t>
  </si>
  <si>
    <t>Organization site record (1996)</t>
  </si>
  <si>
    <t>Anti-war landowners military land lease refusal frame</t>
  </si>
  <si>
    <t>https://www.jca.apc.org/HHK/</t>
  </si>
  <si>
    <t>Academic article record (1995)</t>
  </si>
  <si>
    <t>Women Against Military Bases formation after 1995 incident</t>
  </si>
  <si>
    <t>https://www2.kobe-u.ac.jp/~alexroni/TR%202013%20readings/2013_3/05_73-85%20Akibayashi.pdf</t>
  </si>
  <si>
    <t>Magazine news</t>
  </si>
  <si>
    <t>Magazine news record (2015)</t>
  </si>
  <si>
    <t>https://www.kinyobi.co.jp/kinyobinews/2016/06/24/%E8%BE%BA%E9%87%8E%E5%8F%A4%E5%9F%8B%E3%82%81%E7%AB%8B%E3%81%A6%E3%81%AB%E5%8A%A0%E6%8B%85%E3%81%97%E3%81%AA%E3%81%84%E2%80%95%E2%80%95%E5%9C%9F%E7%A0%82%E6%8E%A1%E5%8F%96%E5%9C%B0%E3%81%AE%E9%97%98/</t>
  </si>
  <si>
    <t>S041</t>
  </si>
  <si>
    <t>AWWA / OESC / NOSCO official sites and DVIDS reports</t>
  </si>
  <si>
    <t>AWWA structure (5 clubs); OESC official site okinawaesc.com; NOSCO AWWA page; DVIDS 40-year history</t>
  </si>
  <si>
    <t>https://okinawahai.com/american-womens-welfare-association/</t>
  </si>
  <si>
    <t>Local official record (1997)</t>
  </si>
  <si>
    <t>1997 Nago city referendum on Henoko base</t>
  </si>
  <si>
    <t>https://www.city.nago.okinawa.jp/kurashi/2018071900226/</t>
  </si>
  <si>
    <t>Official data record (2024)</t>
  </si>
  <si>
    <t>Okinawa prefecture official base burden data</t>
  </si>
  <si>
    <t>https://www.pref.okinawa.jp/heiwakichi/kichi/1017273/1017274/1025057/1029383.html</t>
  </si>
  <si>
    <t>S044</t>
  </si>
  <si>
    <t>Inoue Masamichi: Okinawa and the U.S. Military</t>
  </si>
  <si>
    <t>Academic analysis of Okinawa-US military relations</t>
  </si>
  <si>
    <t>S045</t>
  </si>
  <si>
    <t>Henoko landfill soil dumping begins</t>
  </si>
  <si>
    <t>https://www.okinawatimes.co.jp/articles/-/359236</t>
  </si>
  <si>
    <t>S046</t>
  </si>
  <si>
    <t>NGO statement record (2014)</t>
  </si>
  <si>
    <t>NACSJ scientific survey report on Oura Bay biodiversity</t>
  </si>
  <si>
    <t>https://www.nacsj.or.jp/archives/files/katsudo/henoko/pdf/20140724youbou_boueidaijin.pdf</t>
  </si>
  <si>
    <t>Official data record (2012)</t>
  </si>
  <si>
    <t>Henoko base EIA official document</t>
  </si>
  <si>
    <t>https://www.mod.go.jp/rdb/okinawa/effort/base/evaluation/hyoukasyo.html</t>
  </si>
  <si>
    <t>Veterans for Peace Ryukyu/Okinawa Chapter Kokusai</t>
  </si>
  <si>
    <t>VFP activities in Okinawa</t>
  </si>
  <si>
    <t>https://www.veteransforpeace.org/who-we-are/2025-online-business-meeting/resolution-2025-1-us-military-expansion-and-environmental-destruction-okinawa</t>
  </si>
  <si>
    <t>Henoko anti-base coordination; sit-in since 2004; co-reps verified</t>
  </si>
  <si>
    <t>https://lovehenoko.org/</t>
  </si>
  <si>
    <t>S050</t>
  </si>
  <si>
    <t>Encyclopedia</t>
  </si>
  <si>
    <t>Encyclopedia record (2026)</t>
  </si>
  <si>
    <t>Organization history and structure; est. 1998; co-representatives</t>
  </si>
  <si>
    <t>https://ja.wikipedia.org/wiki/%E3%83%98%E3%83%AA%E5%9F%BA%E5%9C%B0%E5%8F%8D%E5%AF%BE%E5%8D%94%E8%AD%B0%E4%BC%9A</t>
  </si>
  <si>
    <t>S051</t>
  </si>
  <si>
    <t>Organization site record (2024)</t>
  </si>
  <si>
    <t>E0</t>
  </si>
  <si>
    <t>Rejected</t>
  </si>
  <si>
    <t>No current claim: archived capture resolves to unrelated Ishigaki tourism/food site</t>
  </si>
  <si>
    <t>https://ishigaki-tohyo.com/</t>
  </si>
  <si>
    <t>S052</t>
  </si>
  <si>
    <t>Organization blog</t>
  </si>
  <si>
    <t>Organization blog record (2026)</t>
  </si>
  <si>
    <t>Isobanoka civic group activities; anti-military-exercise protests</t>
  </si>
  <si>
    <t>https://isobanokai.ti-da.net/</t>
  </si>
  <si>
    <t>News</t>
  </si>
  <si>
    <t>OESC donates $3250 to USO Okinawa</t>
  </si>
  <si>
    <t>OESC charitable donation to USO confirmed</t>
  </si>
  <si>
    <t>https://okinawa.stripes.com/community-news/okinawa-enlisted-spouses-club-uso-okinawa.html</t>
  </si>
  <si>
    <t>S054</t>
  </si>
  <si>
    <t>Nonprofit record</t>
  </si>
  <si>
    <t>OESC ProPublica Nonprofit Explorer</t>
  </si>
  <si>
    <t>OESC 501(c)(3) status and financial records</t>
  </si>
  <si>
    <t>https://projects.propublica.org/nonprofits/organizations/980346507</t>
  </si>
  <si>
    <t>NOSCO AWWA page</t>
  </si>
  <si>
    <t>AWWA umbrella structure and member clubs</t>
  </si>
  <si>
    <t>https://nosco.wildapricot.org/awwa</t>
  </si>
  <si>
    <t>S056</t>
  </si>
  <si>
    <t>Grant document</t>
  </si>
  <si>
    <t>U.S. Consulate Naha Okinawa Youth Council NOFO PDF</t>
  </si>
  <si>
    <t>OYC grant opportunity details; $5000-$10000; eligible applicants</t>
  </si>
  <si>
    <t>https://jp.usembassy.gov/wp-content/uploads/sites/7/2024/05/nofo-2024-naha-pas-02-okinawa-youth-council-e.pdf</t>
  </si>
  <si>
    <t>S057</t>
  </si>
  <si>
    <t>A002 official site and contact identity</t>
  </si>
  <si>
    <t>http://www.sdcc.jp/</t>
  </si>
  <si>
    <t>S058</t>
  </si>
  <si>
    <t>NGO directory</t>
  </si>
  <si>
    <t>IUCN member page: Save the Dugong Campaign Center</t>
  </si>
  <si>
    <t>A002 IUCN National NGO member since Nov 2004</t>
  </si>
  <si>
    <t>https://iucn.org/our-union/members/iucn-members/save-dugong-campaign-center</t>
  </si>
  <si>
    <t>S059</t>
  </si>
  <si>
    <t>NGO directory record (2019)</t>
  </si>
  <si>
    <t>A002 legal status representative address contact fees and activities</t>
  </si>
  <si>
    <t>https://www.geoc.jp/rashinban/dantai_detail_591.html</t>
  </si>
  <si>
    <t>Earthjustice 2003 Okinawa Dugong lawsuit press release</t>
  </si>
  <si>
    <t>A076 and related plaintiffs in Okinawa Dugong v Rumsfeld</t>
  </si>
  <si>
    <t>https://earthjustice.org/press/2003/us-japanese-conservation-groups-join-in-legal-effort-to-save-okinawa-dugong-from-extinction</t>
  </si>
  <si>
    <t>Legal source</t>
  </si>
  <si>
    <t>JELF Okinawa Dugong NHPA lawsuit plaintiff material</t>
  </si>
  <si>
    <t>JELF plaintiff material for Okinawa Dugong NHPA lawsuit</t>
  </si>
  <si>
    <t>https://www.jelf-justice.org/base_issue/post-1430/</t>
  </si>
  <si>
    <t>Earthjustice Okinawa Dugong case page</t>
  </si>
  <si>
    <t>Okinawa Dugong case background and litigation route</t>
  </si>
  <si>
    <t>https://earthjustice.org/case/okinawa-dugong-proposed-airbase</t>
  </si>
  <si>
    <t>S063</t>
  </si>
  <si>
    <t>A076 name and background for Save the Dugong Foundation</t>
  </si>
  <si>
    <t>https://ryukyushimpo.jp/okinawa-dic/prentry-41677.html</t>
  </si>
  <si>
    <t>NGO statement record (2019)</t>
  </si>
  <si>
    <t>https://peaceboat.org/26488.html</t>
  </si>
  <si>
    <t>S065</t>
  </si>
  <si>
    <t>A008 organization purpose/history as no-war international-cooperation NGO network</t>
  </si>
  <si>
    <t>http://ngo-nowar.org/</t>
  </si>
  <si>
    <t>S066</t>
  </si>
  <si>
    <t>NGO report</t>
  </si>
  <si>
    <t>NGO report record (2015)</t>
  </si>
  <si>
    <t>A008 activity/history context</t>
  </si>
  <si>
    <t>https://ngo-ayus.jp/activity/situation_support/ngonowarnet2015/</t>
  </si>
  <si>
    <t>S067</t>
  </si>
  <si>
    <t>NGO statement record (2023)</t>
  </si>
  <si>
    <t>A008 later statement activity and network continuity</t>
  </si>
  <si>
    <t>https://www.ngo-jvc.net/news/news/20230606_osaseimei.html</t>
  </si>
  <si>
    <t>S068</t>
  </si>
  <si>
    <t>Local news record (2024)</t>
  </si>
  <si>
    <t>A016 Isobanokai request to halt joint exercises and Osprey flights</t>
  </si>
  <si>
    <t>https://www.okinawatimes.co.jp/articles/-/1448767</t>
  </si>
  <si>
    <t>A014 referendum opposition committee lead and post-vote concerns</t>
  </si>
  <si>
    <t>http://www.kinyobi.co.jp/kinyobinews/2015/03/11/</t>
  </si>
  <si>
    <t>S070</t>
  </si>
  <si>
    <t>Party News record (2014)</t>
  </si>
  <si>
    <t>Yonaguni referendum ordinance context</t>
  </si>
  <si>
    <t>https://www.jcp.or.jp/akahata/aik14/2014-11-18/2014111815_03_1.html</t>
  </si>
  <si>
    <t>S071</t>
  </si>
  <si>
    <t>Legal database</t>
  </si>
  <si>
    <t>Legal database record (Undated)</t>
  </si>
  <si>
    <t>https://greenaccess.law.osaka-u.ac.jp/archives/7214</t>
  </si>
  <si>
    <t>Military news</t>
  </si>
  <si>
    <t>DVIDS American Women's Welfare Association celebrates 40 years</t>
  </si>
  <si>
    <t>AWWA history and five spouse organizations; old name usage</t>
  </si>
  <si>
    <t>https://www.dvidshub.net/news/87854/american-womens-welfare-association-celebrates-40-years</t>
  </si>
  <si>
    <t>S073</t>
  </si>
  <si>
    <t>Organization social</t>
  </si>
  <si>
    <t>AWWA official Facebook American Welfare &amp; Works Association</t>
  </si>
  <si>
    <t>AWWA current name and self-description as 501c3 grantmaking organization</t>
  </si>
  <si>
    <t>https://www.facebook.com/AmericanWelfareandWorksAssociation/</t>
  </si>
  <si>
    <t>S074</t>
  </si>
  <si>
    <t>Cause IQ American Welfare and Works Association EIN 98-0227149</t>
  </si>
  <si>
    <t>Failed</t>
  </si>
  <si>
    <t>AWWA EIN and 501c3 line; Form 990 lead</t>
  </si>
  <si>
    <t>https://www.causeiq.com/organizations/american-womens-welfare-association%2C980227149/</t>
  </si>
  <si>
    <t>Kadena Officers' Spouses' Club charity page</t>
  </si>
  <si>
    <t>KOSC charity program and reported $102000 to scholarships and AWWA</t>
  </si>
  <si>
    <t>https://www.kadenaofficersspousesclub.com/charity</t>
  </si>
  <si>
    <t>S076</t>
  </si>
  <si>
    <t>Kadena Officers Spouses Club ProPublica Nonprofit Explorer</t>
  </si>
  <si>
    <t>KOSC tax status and EIN 98-0214323</t>
  </si>
  <si>
    <t>https://projects.propublica.org/nonprofits/organizations/980214323</t>
  </si>
  <si>
    <t>Organization story</t>
  </si>
  <si>
    <t>USO Okinawa AWWA grant to USO Kinser</t>
  </si>
  <si>
    <t>https://okinawa.uso.org/stories/81</t>
  </si>
  <si>
    <t>Local news (English)</t>
  </si>
  <si>
    <t>Ryukyu Shimpo English AWWA donated 800 million yen over 40 years</t>
  </si>
  <si>
    <t>AWWA long-term donations to local welfare facilities</t>
  </si>
  <si>
    <t>https://english.ryukyushimpo.jp/2012/05/09/6954/</t>
  </si>
  <si>
    <t>S079</t>
  </si>
  <si>
    <t>MOSCO official site</t>
  </si>
  <si>
    <t>MOSCO identity and charitable mission on Okinawa</t>
  </si>
  <si>
    <t>https://www.moscoki.com/</t>
  </si>
  <si>
    <t>S080</t>
  </si>
  <si>
    <t>Marine Officers Spouses Club Okinawa ProPublica Nonprofit Explorer</t>
  </si>
  <si>
    <t>MOSCO tax-exempt status and EIN 46-0598583</t>
  </si>
  <si>
    <t>https://projects.propublica.org/nonprofits/organizations/460598583</t>
  </si>
  <si>
    <t>S081</t>
  </si>
  <si>
    <t>Community site</t>
  </si>
  <si>
    <t>Army on Okinawa Gift Shop Okinawa Hai</t>
  </si>
  <si>
    <t>Army Community Group of Okinawa and Army on Okinawa Gift Shop lead</t>
  </si>
  <si>
    <t>https://okinawahai.com/army-on-okinawa-gift-shop/</t>
  </si>
  <si>
    <t>S082</t>
  </si>
  <si>
    <t>Grants.gov Okinawa Youth Council Program opportunity</t>
  </si>
  <si>
    <t>Okinawa Youth Council Program grant opportunity listing</t>
  </si>
  <si>
    <t>https://www.grants.gov/search-results-detail/351830</t>
  </si>
  <si>
    <t>S083</t>
  </si>
  <si>
    <t>Grant database</t>
  </si>
  <si>
    <t>FederalGrants Okinawa Youth Council Program listing</t>
  </si>
  <si>
    <t>Okinawa Youth Council Program opportunity mirror</t>
  </si>
  <si>
    <t>https://www.federalgrants.com/Okinawa-Youth-Council-Program-98421.html</t>
  </si>
  <si>
    <t>S084</t>
  </si>
  <si>
    <t>GrantedAI Okinawa Youth Council Program expired listing</t>
  </si>
  <si>
    <t>Okinawa Youth Council Program closed opportunity details</t>
  </si>
  <si>
    <t>https://grantedai.com/grants/okinawa-youth-council-program-u-s-mission-to-japan-d2b756a3</t>
  </si>
  <si>
    <t>S085</t>
  </si>
  <si>
    <t>Grant listing</t>
  </si>
  <si>
    <t>NED FY2024 Asia Grant Listing PDF</t>
  </si>
  <si>
    <t>NED FY2024 Asia grants; no Japan/Okinawa/Ryukyu direct recipient found</t>
  </si>
  <si>
    <t>https://www.ned.org/wp-content/uploads/2025/04/Asia-Grant-Listing-FY24.pdf</t>
  </si>
  <si>
    <t>S086</t>
  </si>
  <si>
    <t>NED 2024 Grant Listings entry page</t>
  </si>
  <si>
    <t>NED official entry point for 2024 grant listings</t>
  </si>
  <si>
    <t>https://www.ned.org/2024-grant-listings/</t>
  </si>
  <si>
    <t>S087</t>
  </si>
  <si>
    <t>Organization report</t>
  </si>
  <si>
    <t>Peace Winds Japan USAID funding for West Japan Floods and Hokkaido Earthquake</t>
  </si>
  <si>
    <t>PWJ USAID-funded disaster relief method sample; non-Okinawa</t>
  </si>
  <si>
    <t>https://global-en.peace-winds.org/news/1790</t>
  </si>
  <si>
    <t>S088</t>
  </si>
  <si>
    <t>Peace Winds America Peace Winds in Japan disaster relief overview</t>
  </si>
  <si>
    <t>Peace Winds disaster-relief background in Japan</t>
  </si>
  <si>
    <t>https://peacewindsamerica.org/relief_recovery/disaster-relief-japan/</t>
  </si>
  <si>
    <t>S089</t>
  </si>
  <si>
    <t>Pro Public official site</t>
  </si>
  <si>
    <t>A040 identity as Forum for Protection of Public Interest / Pro Public Nepal</t>
  </si>
  <si>
    <t>https://propublic.org/</t>
  </si>
  <si>
    <t>S090</t>
  </si>
  <si>
    <t>FoE International member page Nepal Pro Public</t>
  </si>
  <si>
    <t>A040 identity as FoE Nepal / Pro Public</t>
  </si>
  <si>
    <t>https://www.foei.org/member-groups/nepal/</t>
  </si>
  <si>
    <t>S091</t>
  </si>
  <si>
    <t>IUCN member page Pro Natura / Friends of the Earth Switzerland</t>
  </si>
  <si>
    <t>A046 identity as Pro Natura / FoE Switzerland</t>
  </si>
  <si>
    <t>https://iucn.org/our-union/members/iucn-members/pro-natura-friends-earth-switzerland</t>
  </si>
  <si>
    <t>S092</t>
  </si>
  <si>
    <t>FoE International member page Switzerland Pro Natura</t>
  </si>
  <si>
    <t>https://www.foei.org/member-groups/switzerland/</t>
  </si>
  <si>
    <t>Court record</t>
  </si>
  <si>
    <t>Okinawa Dugong v Rumsfeld docket USCOURTS-cand-3_03-cv-04350</t>
  </si>
  <si>
    <t>MT-007 named plaintiffs and defendant in the NHPA dugong suit</t>
  </si>
  <si>
    <t>https://www.govinfo.gov/content/pkg/USCOURTS-cand-3_03-cv-04350/pdf/USCOURTS-cand-3_03-cv-04350-16.pdf</t>
  </si>
  <si>
    <t>AWWA donates wheelchair van to Yomitan Quegoen</t>
  </si>
  <si>
    <t>MT-005 named AWWA recipient: Yomitan Quegoen disability facility received a wheelchair van (2 million yen) 2015-12-02</t>
  </si>
  <si>
    <t>https://www.dvidshub.net/news/184071/american-womens-welfare-association-donates-van-disabled-okinawan-residents</t>
  </si>
  <si>
    <t>MT-006 ONC identity and administrative role: MOFA NGO consultant; Okinawa Prefecture multicultural project; Okinawa City commission; JICA Okinawa festival</t>
  </si>
  <si>
    <t>https://www.oki-ngo.org/</t>
  </si>
  <si>
    <t>S096</t>
  </si>
  <si>
    <t>Official portal record (2025)</t>
  </si>
  <si>
    <t>MT-006 MOFA NGO consultant program listing (ONC is a designated consultant)</t>
  </si>
  <si>
    <t>https://www.mofa.go.jp/mofaj/gaiko/oda/about/shimin/pagew_000001_00002.html</t>
  </si>
  <si>
    <t>USO Okinawa Sponsors page</t>
  </si>
  <si>
    <t>LR-T1B USO Okinawa named corporate sponsors and 8 base centers</t>
  </si>
  <si>
    <t>https://okinawa.uso.org/sponsors</t>
  </si>
  <si>
    <t>S098</t>
  </si>
  <si>
    <t>AEC $16000 donation and center refresh to USO Okinawa</t>
  </si>
  <si>
    <t>LR-T1B AEC longstanding USO sponsor with named donation and center projects</t>
  </si>
  <si>
    <t>https://okinawa.stripes.com/community-news/american-engineering-corporation-uso-okinawa.html</t>
  </si>
  <si>
    <t>S099</t>
  </si>
  <si>
    <t>Official NPO report</t>
  </si>
  <si>
    <t>Official NPO report record (2025)</t>
  </si>
  <si>
    <t>W1 T1-D/E legal annual report and project-level costs for MOFA Okinawa Prefecture and Okinawa City commissions</t>
  </si>
  <si>
    <t>https://www.npo-homepage.go.jp/npoportal/document/047021403/hokoku/2024700/2024%E5%B9%B4%E5%BA%A6%E4%BA%8B%E6%A5%AD%E5%A0%B1%E5%91%8A%E6%9B%B8%E7%AD%89.pdf</t>
  </si>
  <si>
    <t>S100</t>
  </si>
  <si>
    <t>Official project report</t>
  </si>
  <si>
    <t>Official project report record (2020)</t>
  </si>
  <si>
    <t>W1 T1-E ONC identified as contractor for JICA teacher overseas training program and report</t>
  </si>
  <si>
    <t>https://www.jica.go.jp/domestic/kyushu/activities/kaihatsu/__icsFiles/afieldfile/2025/03/27/report_2019.pdf</t>
  </si>
  <si>
    <t>S101</t>
  </si>
  <si>
    <t>W1 T1-E continuation of ONC designation as Okinawa NGO consultant in FY2026</t>
  </si>
  <si>
    <t>https://www.mofa.go.jp/mofaj/gaiko/oda/about/shimin/pagew_000001_00006.html</t>
  </si>
  <si>
    <t>NOSCO joins donation of cooling fans to Heshikiya after-school childcare center</t>
  </si>
  <si>
    <t>W1 T1-A named local recipient context and NOSCO joint in-kind donation</t>
  </si>
  <si>
    <t>https://www.dvidshub.net/news/546868/us-navy-sailors-help-okinawan-childcare-center-beat-heat</t>
  </si>
  <si>
    <t>https://www.npo-homepage.go.jp/npoportal/gyosei-print/047006834</t>
  </si>
  <si>
    <t>https://www.npo-homepage.go.jp/npoportal/list?fiscal_year_end_first=&amp;fiscal_year_end_second=&amp;fiscal_year_start_first=&amp;fiscal_year_start_second=&amp;goc%5B0%5D=000&amp;order=desc&amp;page=260&amp;sort=gov_code</t>
  </si>
  <si>
    <t>https://www.oki-tu.org/about_us</t>
  </si>
  <si>
    <t>https://www.oki-htu.or.jp/about.php</t>
  </si>
  <si>
    <t>S107</t>
  </si>
  <si>
    <t>https://www.rengo-okinawa.jp/about-us/</t>
  </si>
  <si>
    <t>Organization action record</t>
  </si>
  <si>
    <t>Organization action record record (2026)</t>
  </si>
  <si>
    <t>https://www.rengo-okinawa.jp/cat-news/post-2485/</t>
  </si>
  <si>
    <t>https://okinawakenroren.org/kenrorenshokai.html</t>
  </si>
  <si>
    <t>https://www.jichiro.okinawa/</t>
  </si>
  <si>
    <t>S111</t>
  </si>
  <si>
    <t>https://www.okifuren.com/</t>
  </si>
  <si>
    <t>Official legislative record</t>
  </si>
  <si>
    <t>Official legislative record record (2026)</t>
  </si>
  <si>
    <t>https://www.pref.okinawa.lg.jp/_res/projects/default_project/_page_/001/017/050/inkaihou.compressed.pdf</t>
  </si>
  <si>
    <t>S113</t>
  </si>
  <si>
    <t>Local news record (2026)</t>
  </si>
  <si>
    <t>https://www.miyakomainichi.com/news/post-82976/</t>
  </si>
  <si>
    <t>Organization site record (Undated)</t>
  </si>
  <si>
    <t>https://www.npo-mec.net/</t>
  </si>
  <si>
    <t>https://econet.jpn.org/</t>
  </si>
  <si>
    <t>https://darkwater.okinawa/about/</t>
  </si>
  <si>
    <t>S117</t>
  </si>
  <si>
    <t>Official government record</t>
  </si>
  <si>
    <t>Official government record record (2026)</t>
  </si>
  <si>
    <t>https://www.pref.okinawa.lg.jp/_res/projects/default_project/_page_/001/026/790/r7_04gijigaiyou.pdf</t>
  </si>
  <si>
    <t>S118</t>
  </si>
  <si>
    <t>https://www.city.uruma.lg.jp/documents/2778/163164165kaigiroku_2.pdf</t>
  </si>
  <si>
    <t>https://ryukyushimpo.jp/news/entry-1623776.html</t>
  </si>
  <si>
    <t>https://ryukyukohp.jimdofree.com/</t>
  </si>
  <si>
    <t>https://www.kogai-net.com/</t>
  </si>
  <si>
    <t>S122</t>
  </si>
  <si>
    <t>Member organization website</t>
  </si>
  <si>
    <t>Member organization website record (2026)</t>
  </si>
  <si>
    <t>https://bakuon.org/yonjitop/zenkoku.html</t>
  </si>
  <si>
    <t>S123</t>
  </si>
  <si>
    <t>Member organization action record</t>
  </si>
  <si>
    <t>Member organization action record record (2026)</t>
  </si>
  <si>
    <t>https://bakuon.org/2026/06/22/2026-06-18%E3%80%80%E5%85%A8%E5%9B%BD%E5%9F%BA%E5%9C%B0%E7%88%86%E9%9F%B3%E8%A8%B4%E8%A8%9F%E5%8E%9F%E5%91%8A%E5%9B%A3%E9%80%A3%E7%B5%A1%E4%BC%9A%E3%81%8C%E5%9B%BD%E4%BC%9A%E4%BA%A4%E6%B8%89/</t>
  </si>
  <si>
    <t>Legal network report</t>
  </si>
  <si>
    <t>Legal network report record (2026)</t>
  </si>
  <si>
    <t>https://www.kogai-net.com/sokai-document/document38/38-200/38-223/</t>
  </si>
  <si>
    <t>Organization statement</t>
  </si>
  <si>
    <t>Organization statement record (2026)</t>
  </si>
  <si>
    <t>https://www.ywca.or.jp/wp-content/uploads/2020/05/0526.pdf</t>
  </si>
  <si>
    <t>https://henokoumeruna2018.exblog.jp/</t>
  </si>
  <si>
    <t>Partner organization record</t>
  </si>
  <si>
    <t>Partner organization record record (2026)</t>
  </si>
  <si>
    <t>https://www.jawan.jp/rept/rp2019-j129/4.html</t>
  </si>
  <si>
    <t>Center for Biological Diversity v. Mattis No. 15-15695 opinion</t>
  </si>
  <si>
    <t>R8-01 R8C01: party list NHPA posture and 2017 remand</t>
  </si>
  <si>
    <t>https://cdn.ca9.uscourts.gov/datastore/opinions/2017/08/21/15-15695.pdf</t>
  </si>
  <si>
    <t>S129</t>
  </si>
  <si>
    <t>Center for Biological Diversity v. Esper No. 18-16836 opinion</t>
  </si>
  <si>
    <t>R8-01 R8C01: final appellate outcome and Section 402 standard</t>
  </si>
  <si>
    <t>https://cdn.ca9.uscourts.gov/datastore/opinions/2020/05/06/18-16836.pdf</t>
  </si>
  <si>
    <t>Official data record (2013)</t>
  </si>
  <si>
    <t>R8-01 R8C02: EIA proponent procedure and corrected assessment</t>
  </si>
  <si>
    <t>https://www.mod.go.jp/rdb/okinawa/effort/base/evaluation/hyoukayouyaku.html</t>
  </si>
  <si>
    <t>S131</t>
  </si>
  <si>
    <t>Organization statement record (2013)</t>
  </si>
  <si>
    <t>R8-01 R8C02: commenter role targets claims and date</t>
  </si>
  <si>
    <t>https://www.nacsj.or.jp/statement/50946/</t>
  </si>
  <si>
    <t>S132</t>
  </si>
  <si>
    <t>Organization statement record (2004)</t>
  </si>
  <si>
    <t>R8-01 R8C02: method-statement commenter role and early procedure</t>
  </si>
  <si>
    <t>https://www.nacsj.or.jp/statement/51098/</t>
  </si>
  <si>
    <t>Third Kadena Air Base noise injunction appeal judgment</t>
  </si>
  <si>
    <t>R8-01 R8C03: claims parties legal reasoning and outcome</t>
  </si>
  <si>
    <t>https://www.courts.go.jp/assets/hanrei/hanrei-pdf-88988.pdf</t>
  </si>
  <si>
    <t>Official data record (2011)</t>
  </si>
  <si>
    <t>R8-01 R8C03: plaintiff-group and counsel-group identity</t>
  </si>
  <si>
    <t>https://ndlsearch.ndl.go.jp/books/R100000002-I032624657</t>
  </si>
  <si>
    <t>Court record record (2022)</t>
  </si>
  <si>
    <t>R8-01 R8C04: case numbers resident plaintiffs claims and partial damages outcome</t>
  </si>
  <si>
    <t>https://www.courts.go.jp/assets/hanrei/hanrei-pdf-91354.pdf</t>
  </si>
  <si>
    <t>Formal counsel material</t>
  </si>
  <si>
    <t>Formal counsel material record (2022)</t>
  </si>
  <si>
    <t>R8-01 R8C04: A053 formal name plaintiff-group identity filing date and counsel-secretariat role</t>
  </si>
  <si>
    <t>https://okinawagodo.org/blog/1230/</t>
  </si>
  <si>
    <t>Court record record (2020)</t>
  </si>
  <si>
    <t>https://www.courts.go.jp/assets/hanrei/hanrei-pdf-89731.pdf</t>
  </si>
  <si>
    <t>S138</t>
  </si>
  <si>
    <t>Local official record (Undated)</t>
  </si>
  <si>
    <t>https://www.city.ishigaki.okinawa.jp/jieiteikannrenn/news/3615.html</t>
  </si>
  <si>
    <t>Legal source record (2020)</t>
  </si>
  <si>
    <t>R8-01 R8C05: counsel role and later status-confirmation claims</t>
  </si>
  <si>
    <t>https://ishigaki-tohyo.com/wp-content/uploads/2022/07/%E5%9C%A8%E5%A4%96%E6%97%A5%E6%9C%AC%E4%BA%BA%E5%9B%BD%E6%B0%91%E5%AF%A9%E6%9F%BB%E6%A8%A9%E7%A2%BA%E8%AA%8D%E7%AD%89%E8%AB%8B%E6%B1%82%E4%BA%8B%E4%BB%B6%E6%9C%80%E9%AB%98%E8%A3%81%E5%88%A4%E6%89%80%E5%A4%A7%E6%B3%95%E5%BB%B7%E5%88%A4%E6%B1%BA%E3%82%92%E8%B8%8F%E3%81%BE%E3%81%88%E3%81%9F-1.pdf</t>
  </si>
  <si>
    <t>S140</t>
  </si>
  <si>
    <t>Court record record (2017)</t>
  </si>
  <si>
    <t>R8-01 R8C06: first-wave parties procedure public-finance and environmental claims outcome</t>
  </si>
  <si>
    <t>https://www.courts.go.jp/assets/hanrei/hanrei-pdf-37115.pdf</t>
  </si>
  <si>
    <t>S141</t>
  </si>
  <si>
    <t>R8-01 R8C06: second-wave case numbers title and completion date</t>
  </si>
  <si>
    <t>https://www.courts.go.jp/naha/vc-files/naha/2024/chisai/minji/tokubetuhozon/H29kanketubunitiranhyou.pdf</t>
  </si>
  <si>
    <t>Legal source record (2017)</t>
  </si>
  <si>
    <t>R8-01 R8C06: second-wave claimant and counsel roles appellate and Supreme Court outcomes</t>
  </si>
  <si>
    <t>https://www.jelf-justice.org/?p=1114</t>
  </si>
  <si>
    <t>S143</t>
  </si>
  <si>
    <t>Official data record (2007)</t>
  </si>
  <si>
    <t>R8-01 R8C06: first-wave case numbers defendants and pending status</t>
  </si>
  <si>
    <t>https://www.pref.okinawa.jp/_res/projects/default_project/_page_/001/016/473/syoumu_nenpou_h19.pdf</t>
  </si>
  <si>
    <t>S144</t>
  </si>
  <si>
    <t>Parent organization profile</t>
  </si>
  <si>
    <t>Parent organization profile record (2022)</t>
  </si>
  <si>
    <t>HR-011 A107: 2002 founding, regional-YWCA identity, named officers, youth activity, and direct Henoko activity</t>
  </si>
  <si>
    <t>https://www.ywca.or.jp/kaze/0214news-2/</t>
  </si>
  <si>
    <t>S145</t>
  </si>
  <si>
    <t>Parent organization topic page</t>
  </si>
  <si>
    <t>Parent organization topic page record (2026)</t>
  </si>
  <si>
    <t>HR-011 A107: continuing parent-body coverage of Okinawa YWCA and Okinawa-related activity</t>
  </si>
  <si>
    <t>https://www.ywca.or.jp/tag/%E6%B2%96%E7%B8%84/</t>
  </si>
  <si>
    <t>S146</t>
  </si>
  <si>
    <t>HR-011 A108: official name, representatives, purpose, structure, and activities</t>
  </si>
  <si>
    <t>https://kenminnokai.okinawa/</t>
  </si>
  <si>
    <t>Local news record (2023)</t>
  </si>
  <si>
    <t>HR-011 A108: 2023-11-23 prefectural peace rally and organizer-reported attendance</t>
  </si>
  <si>
    <t>https://www.qab.co.jp/news/20231123193623.html</t>
  </si>
  <si>
    <t>S148</t>
  </si>
  <si>
    <t>HR-011 A108: formation, purpose, and prefecture-wide network positioning</t>
  </si>
  <si>
    <t>https://ryukyushimpo.jp/news/entry-1754082.html</t>
  </si>
  <si>
    <t>S149</t>
  </si>
  <si>
    <t>HR-011/012 A052/A109: fourth Kadena round, filing, plaintiff scale, households, municipalities, and counsel-team existence</t>
  </si>
  <si>
    <t>https://ryukyushimpo.jp/news/entry-1461735.html</t>
  </si>
  <si>
    <t>S150</t>
  </si>
  <si>
    <t>HR-011 A109: fourth-round plaintiffs and lawyers preparing the first oral hearing</t>
  </si>
  <si>
    <t>https://www.qab.co.jp/news/20230119159860.html</t>
  </si>
  <si>
    <t>S151</t>
  </si>
  <si>
    <t>HR-011/012 A052/A109: official plaintiff-group identity and fourth-round litigation context</t>
  </si>
  <si>
    <t>https://kadena-bakuon.jp/</t>
  </si>
  <si>
    <t>Participating law firm record</t>
  </si>
  <si>
    <t>Participating law firm record record (2022)</t>
  </si>
  <si>
    <t>HR-011 A109: participating-law-firm confirmation of a case-specific counsel team</t>
  </si>
  <si>
    <t>https://ameblo.jp/hibikilaw-staff/entry-12727218527.html</t>
  </si>
  <si>
    <t>S153</t>
  </si>
  <si>
    <t>HR-011 A110: sustained Osaka/Kansai Henoko solidarity action</t>
  </si>
  <si>
    <t>https://blog.livedoor.jp/henoko_osaka/</t>
  </si>
  <si>
    <t>S154</t>
  </si>
  <si>
    <t>Media record</t>
  </si>
  <si>
    <t>Media record record (2014)</t>
  </si>
  <si>
    <t>HR-011 A110: externally reported Osaka action concerning Henoko</t>
  </si>
  <si>
    <t>https://iwj.co.jp/wj/open/archives/146582</t>
  </si>
  <si>
    <t>S155</t>
  </si>
  <si>
    <t>Organization history</t>
  </si>
  <si>
    <t>Organization history record (2026)</t>
  </si>
  <si>
    <t>HR-012 A052: continuity from the first through fourth Kadena litigation rounds</t>
  </si>
  <si>
    <t>https://kadena-bakuon.jp/trial/history/</t>
  </si>
  <si>
    <t>S156</t>
  </si>
  <si>
    <t>HR-012 A053: official canonical name and continuity across Futenma litigation rounds</t>
  </si>
  <si>
    <t>https://futenma-bakuon.jp/</t>
  </si>
  <si>
    <t>S157</t>
  </si>
  <si>
    <t>Union research report</t>
  </si>
  <si>
    <t>Union research report record (2018)</t>
  </si>
  <si>
    <t>HR-012 A010: predecessor formed 2015-08-20 and wider citizens liaison group formed 2016-09</t>
  </si>
  <si>
    <t>https://www.jichiro.gr.jp/jichiken_kako/report/rep_tosa37/08/0802_yre/index.htm</t>
  </si>
  <si>
    <t>S158</t>
  </si>
  <si>
    <t>Organization profile</t>
  </si>
  <si>
    <t>Organization profile record (2026)</t>
  </si>
  <si>
    <t>https://miyakojima-tikasui.com/about_us.html</t>
  </si>
  <si>
    <t>S159</t>
  </si>
  <si>
    <t>News magazine</t>
  </si>
  <si>
    <t>News magazine record (2023)</t>
  </si>
  <si>
    <t>HR-012 A010: the established canonical name remained in documented use in 2023</t>
  </si>
  <si>
    <t>https://www.kinyobi.co.jp/kinyobinews/2023/04/04/antena-1238/</t>
  </si>
  <si>
    <t>S160</t>
  </si>
  <si>
    <t>Court record record (2024)</t>
  </si>
  <si>
    <t>https://www.call4.jp/file/pdf/202407/5f499d29696072751d0d60cc3a9077f5.pdf</t>
  </si>
  <si>
    <t>S161</t>
  </si>
  <si>
    <t>Legal source record (2024)</t>
  </si>
  <si>
    <t>https://www.call4.jp/search.php?items_id=I0000141&amp;items_id_PAL%5B%5D=match+comp&amp;run=true&amp;type=action</t>
  </si>
  <si>
    <t>S162</t>
  </si>
  <si>
    <t>Official legislative record record (2024)</t>
  </si>
  <si>
    <t>https://www.city.ishigaki.okinawa.jp/material/files/group/33/iinkai2024-1.pdf</t>
  </si>
  <si>
    <t>S163</t>
  </si>
  <si>
    <t>Official legislative record record (2021)</t>
  </si>
  <si>
    <t>https://www.city.ishigaki.okinawa.jp/material/files/group/33/r3-6-28gijinittei.pdf</t>
  </si>
  <si>
    <t>S164</t>
  </si>
  <si>
    <t>Local official record (2025)</t>
  </si>
  <si>
    <t>https://www.city.ishigaki.okinawa.jp/material/files/group/9/r71zitikihon_siryou1-3.pdf</t>
  </si>
  <si>
    <t>S165</t>
  </si>
  <si>
    <t>https://www.city.ishigaki.okinawa.jp/soshiki/1/kokuminhogokankei/10812.html</t>
  </si>
  <si>
    <t>S166</t>
  </si>
  <si>
    <t>Official legislative record record (2019)</t>
  </si>
  <si>
    <t>https://www.city.ishigaki.okinawa.jp/soshiki/gikai/teireikairinnjikai/teisyutugianntokekka/reiwagannnenndo/1310.html</t>
  </si>
  <si>
    <t>S167</t>
  </si>
  <si>
    <t>https://www.city.ishigaki.okinawa.jp/soshiki/gikai/teireikairinnjikai/teisyutugianntokekka/reiwagannnenndo/1314.html</t>
  </si>
  <si>
    <t>S168</t>
  </si>
  <si>
    <t>https://www.city.miyakojima.lg.jp/gyosei/kihonkeikaku/kensetsu/shisaku2.html</t>
  </si>
  <si>
    <t>S169</t>
  </si>
  <si>
    <t>https://www.city.miyakojima.lg.jp/kurashi/bousai/bousaijyouhou/2019-0613-1126-269.html</t>
  </si>
  <si>
    <t>S170</t>
  </si>
  <si>
    <t>https://www.city.miyakojima.lg.jp/soshiki/shityo/soumubu/bousaikikikannri/oshirase/2026-0513-1044-269.html</t>
  </si>
  <si>
    <t>S171</t>
  </si>
  <si>
    <t>https://www.city.nago.okinawa.jp/kurashi/2018071901216</t>
  </si>
  <si>
    <t>S172</t>
  </si>
  <si>
    <t>https://www.city.nago.okinawa.jp/kurashi/2018071901216/file_contents/19971221simintouhyou.xls</t>
  </si>
  <si>
    <t>S173</t>
  </si>
  <si>
    <t>Official project report record (Undated)</t>
  </si>
  <si>
    <t>https://www.city.okinawa.okinawa.jp/documents/1858/1kanryou.pdf</t>
  </si>
  <si>
    <t>S174</t>
  </si>
  <si>
    <t>https://www.city.okinawa.okinawa.jp/documents/1858/2kannryou.pdf</t>
  </si>
  <si>
    <t>S175</t>
  </si>
  <si>
    <t>https://www.city.okinawa.okinawa.jp/documents/1858/r0607okinawashi.pdf</t>
  </si>
  <si>
    <t>S176</t>
  </si>
  <si>
    <t>https://www.city.okinawa.okinawa.jp/k034/sportsbunka/bunkarekishi/bunkageijutsu/3938939394.html</t>
  </si>
  <si>
    <t>S177</t>
  </si>
  <si>
    <t>Court record record (2025)</t>
  </si>
  <si>
    <t>https://www.courts.go.jp/fukuoka-h/vc-files/fukuoka-h/reiwa7.pdf</t>
  </si>
  <si>
    <t>S178</t>
  </si>
  <si>
    <t>Court record record (Undated)</t>
  </si>
  <si>
    <t>https://www.courts.go.jp/naha/vc-files/naha/2024/chisai/minji/tokubetuhozon/R3kanketubunitiranhyou.pdf</t>
  </si>
  <si>
    <t>S179</t>
  </si>
  <si>
    <t>Organization Event Report</t>
  </si>
  <si>
    <t>Organization Event Report record (2021)</t>
  </si>
  <si>
    <t>https://www.ichikawa-fusae.or.jp/20210313-1</t>
  </si>
  <si>
    <t>S180</t>
  </si>
  <si>
    <t>National official</t>
  </si>
  <si>
    <t>National official record (2025)</t>
  </si>
  <si>
    <t>https://www.kokuminhogo.go.jp/kunren/kyodo/post-103.html</t>
  </si>
  <si>
    <t>S181</t>
  </si>
  <si>
    <t>https://www.oki-ngo.org/project</t>
  </si>
  <si>
    <t>S182</t>
  </si>
  <si>
    <t>https://www.otv.co.jp/okitive/news/post/00012171/index.html</t>
  </si>
  <si>
    <t>S183</t>
  </si>
  <si>
    <t>Prefectural official</t>
  </si>
  <si>
    <t>Prefectural official record (Undated)</t>
  </si>
  <si>
    <t>https://www.pref.okinawa.jp/_res/projects/default_project/_page_/001/004/917/2r6kekka.pdf</t>
  </si>
  <si>
    <t>S184</t>
  </si>
  <si>
    <t>Official Contract Record</t>
  </si>
  <si>
    <t>Official Contract Record record (Undated)</t>
  </si>
  <si>
    <t>https://www.pref.okinawa.jp/_res/projects/default_project/_page_/001/015/127/koushitsu1.pdf</t>
  </si>
  <si>
    <t>S185</t>
  </si>
  <si>
    <t>Official legislative record record (2018)</t>
  </si>
  <si>
    <t>https://www.pref.okinawa.jp/_res/projects/default_project/_page_/001/021/212/h301002gun-1.pdf</t>
  </si>
  <si>
    <t>S186</t>
  </si>
  <si>
    <t>Official Meeting Minutes</t>
  </si>
  <si>
    <t>Official Meeting Minutes record (Undated)</t>
  </si>
  <si>
    <t>https://www.pref.okinawa.jp/_res/projects/default_project/_page_/001/034/046/3gaiyo.pdf</t>
  </si>
  <si>
    <t>S187</t>
  </si>
  <si>
    <t>https://www.pref.okinawa.jp/heiwakichi/futenma/1017409/1017427.html</t>
  </si>
  <si>
    <t>S188</t>
  </si>
  <si>
    <t>Official Gazette</t>
  </si>
  <si>
    <t>Official Gazette record (2018)</t>
  </si>
  <si>
    <t>https://www.pref.okinawa.jp/kenkouhou/H30/10gatsu/181031gogai43.pdf</t>
  </si>
  <si>
    <t>S189</t>
  </si>
  <si>
    <t>https://www.pref.okinawa.jp/kenkouhou/H30/5gatsu/180523gogai17.pdf</t>
  </si>
  <si>
    <t>S190</t>
  </si>
  <si>
    <t>Official Gazette record (2019)</t>
  </si>
  <si>
    <t>https://www.pref.okinawa.jp/kenkouhou/H31/1gatsu/190131gogai2.pdf</t>
  </si>
  <si>
    <t>S191</t>
  </si>
  <si>
    <t>Official legislative record record (Undated)</t>
  </si>
  <si>
    <t>https://www.pref.okinawa.jp/kensei/kencho/1001519/1001591/1018974/1018988.html</t>
  </si>
  <si>
    <t>S192</t>
  </si>
  <si>
    <t>Prefectural official record (2003)</t>
  </si>
  <si>
    <t>https://www.pref.okinawa.jp/kititaisaku/DP-08-13.pdf</t>
  </si>
  <si>
    <t>S193</t>
  </si>
  <si>
    <t>https://www.pref.okinawa.lg.jp/bosaianzen/kokuminhogo/1023175/1026163/1032696/1032939.html</t>
  </si>
  <si>
    <t>S194</t>
  </si>
  <si>
    <t>https://www.qab.co.jp/news/20241007226830.html</t>
  </si>
  <si>
    <t>S195</t>
  </si>
  <si>
    <t>Local official record (2015)</t>
  </si>
  <si>
    <t>https://www.town.yonaguni.okinawa.jp/docs/2018041100076/file_contents/H27siseihousin.pdf</t>
  </si>
  <si>
    <t>S196</t>
  </si>
  <si>
    <t>https://www.town.yonaguni.okinawa.jp/docs/2018041100144/hogokeikaku.html</t>
  </si>
  <si>
    <t>S197</t>
  </si>
  <si>
    <t>https://www2.pref.okinawa.jp/oki/Gikairep1.nsf/GoZentai/20180702000000</t>
  </si>
  <si>
    <t>S198</t>
  </si>
  <si>
    <t>https://www2.pref.okinawa.jp/oki/Gikairep1.nsf/bf76642d1ed57158492581ed00348311/6cc4b1801bbb16124925861e00087c7a?OpenDocument</t>
  </si>
  <si>
    <t>S199</t>
  </si>
  <si>
    <t>Foundation site</t>
  </si>
  <si>
    <t>Foundation site record (2026)</t>
  </si>
  <si>
    <t>Third-party program context for C011; not C011 organizational identity</t>
  </si>
  <si>
    <t>https://www.okinawajosei.org/</t>
  </si>
  <si>
    <t>HR-013 A111: named chair and 2024 prefectural rally concerning U.S. military sexual violence</t>
  </si>
  <si>
    <t>https://www.okinawatimes.co.jp/articles/-/1474162</t>
  </si>
  <si>
    <t>HR-013 A111: organizational history, named leadership and 2024 anti-sexual-violence mobilization</t>
  </si>
  <si>
    <t>https://ryukyushimpo.jp/national/entry-3299439.html</t>
  </si>
  <si>
    <t>S202</t>
  </si>
  <si>
    <t>HR-013 C010: public-interest foundation identity and war-memory/peace-education function | C010: full legal name; 1960 foundation; 2011 public-interest transition; museum/education mission</t>
  </si>
  <si>
    <t>https://www.himeyuri.or.jp/establish/foundation/</t>
  </si>
  <si>
    <t>S203</t>
  </si>
  <si>
    <t>HR-013 C034: continuing mixed-sector coral-conservation platform | C034: current operation, election/general meeting and coral-conservation mission</t>
  </si>
  <si>
    <t>https://ocrcc.sakura.ne.jp/</t>
  </si>
  <si>
    <t>S204</t>
  </si>
  <si>
    <t>https://miyakojima-tikasui.com/</t>
  </si>
  <si>
    <t>S205</t>
  </si>
  <si>
    <t>Organization report record (2024)</t>
  </si>
  <si>
    <t>C010: dated exhibitions, workshops, teacher training, publications and peace-memory work</t>
  </si>
  <si>
    <t>https://www.himeyuri.or.jp/wp/wp-content/uploads/dayori-new-073_20240531.pdf</t>
  </si>
  <si>
    <t>S206</t>
  </si>
  <si>
    <t>Government report</t>
  </si>
  <si>
    <t>Government report record (2024)</t>
  </si>
  <si>
    <t>C011: current organization identity and network size</t>
  </si>
  <si>
    <t>https://www.gender.go.jp/research/kenkyu/suishinjokyo/2024/pdf/rep/10.pdf</t>
  </si>
  <si>
    <t>S207</t>
  </si>
  <si>
    <t>Government webpage</t>
  </si>
  <si>
    <t>Government webpage record (2024)</t>
  </si>
  <si>
    <t>https://www.pref.okinawa.jp/kurashikankyo/danjo/1021609/1027355/1027407/1027458.html</t>
  </si>
  <si>
    <t>S208</t>
  </si>
  <si>
    <t>Foundation program record</t>
  </si>
  <si>
    <t>Foundation program record record (2016)</t>
  </si>
  <si>
    <t>C011: repeated organization activity and 2023 security-documents course</t>
  </si>
  <si>
    <t>https://www.okinawajosei.org/support.php</t>
  </si>
  <si>
    <t>S209</t>
  </si>
  <si>
    <t>Government webpage record (2004)</t>
  </si>
  <si>
    <t>C011: C011 lecture on Status of Forces Agreement review</t>
  </si>
  <si>
    <t>https://www.pref.okinawa.jp/heiwakichi/kichi/1017255/1017256/1017262.html</t>
  </si>
  <si>
    <t>S210</t>
  </si>
  <si>
    <t>C015: self-hosted groundwater/history/JSDF-deployment meeting and representative</t>
  </si>
  <si>
    <t>https://www.miyakomainichi.com/news/post-79534/</t>
  </si>
  <si>
    <t>S211</t>
  </si>
  <si>
    <t>Association report</t>
  </si>
  <si>
    <t>Association report record (2018)</t>
  </si>
  <si>
    <t>C015: same representative and explicit groundwater/base-contamination framing in 2018</t>
  </si>
  <si>
    <t>https://www.min-iren.gr.jp/news-press/genki/20180731_35632.html</t>
  </si>
  <si>
    <t>S212</t>
  </si>
  <si>
    <t>C015: 2019 continuity and missile-deployment protest role</t>
  </si>
  <si>
    <t>https://ryukyushimpo.jp/news/entry-892189.html</t>
  </si>
  <si>
    <t>S213</t>
  </si>
  <si>
    <t>Official NPO portal</t>
  </si>
  <si>
    <t>Official NPO portal record (2024)</t>
  </si>
  <si>
    <t>C029: legal identity, representative, 2007 authorization, peace mission and filing continuity</t>
  </si>
  <si>
    <t>https://www.npo-homepage.go.jp/npoportal/detail/047024579</t>
  </si>
  <si>
    <t>S214</t>
  </si>
  <si>
    <t>Organization filing</t>
  </si>
  <si>
    <t>Organization filing record (2024)</t>
  </si>
  <si>
    <t>C029: states no principal activity and no operational foundation in FY2024</t>
  </si>
  <si>
    <t>https://www.npo-homepage.go.jp/npoportal/document/047024579/hokoku/2024700/2024%E5%B9%B4%E5%BA%A6%E4%BA%8B%E6%A5%AD%E5%A0%B1%E5%91%8A%E6%9B%B8%E7%AD%89.pdf</t>
  </si>
  <si>
    <t>S215</t>
  </si>
  <si>
    <t>Event report</t>
  </si>
  <si>
    <t>Event report record (2014)</t>
  </si>
  <si>
    <t>C029: C029 organizer role in a Henoko-specific public symposium</t>
  </si>
  <si>
    <t>https://iwj.co.jp/wj/open/archives/177154</t>
  </si>
  <si>
    <t>S216</t>
  </si>
  <si>
    <t>Official NPO portal record (2026)</t>
  </si>
  <si>
    <t>C030: 1999 authorization; 2025-12-07 dissolution after revocation of authorization</t>
  </si>
  <si>
    <t>https://www.npo-homepage.go.jp/npoportal/gyosei-print/047024571</t>
  </si>
  <si>
    <t>S217</t>
  </si>
  <si>
    <t>Organization filing record (2021)</t>
  </si>
  <si>
    <t>C030: states activity was suspended and no FY2022 activity was planned</t>
  </si>
  <si>
    <t>https://www.npo-homepage.go.jp/npoportal/document/047024571/hokoku/2021700/2021%E5%B9%B4%E5%BA%A6%E4%BA%8B%E6%A5%AD%E5%A0%B1%E5%91%8A%E6%9B%B8%E7%AD%89.pdf</t>
  </si>
  <si>
    <t>S218</t>
  </si>
  <si>
    <t>Official NPO portal record (2023)</t>
  </si>
  <si>
    <t>C031: exact identity, representative, 2012 authorization, coastal/environment purpose and annual filings</t>
  </si>
  <si>
    <t>https://www.npo-homepage.go.jp/npoportal/gyosei-print/047023569</t>
  </si>
  <si>
    <t>S219</t>
  </si>
  <si>
    <t>Association directory</t>
  </si>
  <si>
    <t>Association directory record (2026)</t>
  </si>
  <si>
    <t>C031: regular beach cleanups and continuing nature/tourism operation</t>
  </si>
  <si>
    <t>https://miyako-island.net/activity/npo%E6%B3%95%E4%BA%BA%E5%AE%AE%E5%8F%A4%E5%B3%B6%E8%87%AA%E7%84%B6%E7%B7%91%E5%8C%96%E5%8D%94%E4%BC%9A/</t>
  </si>
  <si>
    <t>S220</t>
  </si>
  <si>
    <t>Government/corporate record</t>
  </si>
  <si>
    <t>Government/corporate record record (2025)</t>
  </si>
  <si>
    <t>C032: current legal name and corporate identity</t>
  </si>
  <si>
    <t>https://info.gbiz.go.jp/hojin/ichiran?hojinBango=2360005003935</t>
  </si>
  <si>
    <t>S221</t>
  </si>
  <si>
    <t>Organization website</t>
  </si>
  <si>
    <t>Organization website record (2026)</t>
  </si>
  <si>
    <t>C032: sustained coral conservation, planting and environmental protection</t>
  </si>
  <si>
    <t>https://www.kagisuma.jp/</t>
  </si>
  <si>
    <t>S222</t>
  </si>
  <si>
    <t>Government report record (2011)</t>
  </si>
  <si>
    <t>C032: prefectural program record for planting to reduce nutrient-rich groundwater outflow and conserve groundwater</t>
  </si>
  <si>
    <t>https://www.pref.okinawa.jp/_res/projects/default_project/_page_/001/004/633/sangohosaisoukatsu5.pdf</t>
  </si>
  <si>
    <t>S223</t>
  </si>
  <si>
    <t>Organization website record (2024)</t>
  </si>
  <si>
    <t>C033: 1999/2002 identity, staff, repeated water-edge restoration, education and JICA programs</t>
  </si>
  <si>
    <t>https://www.npo-oec.com/aboutUs.html</t>
  </si>
  <si>
    <t>S224</t>
  </si>
  <si>
    <t>Funded project report</t>
  </si>
  <si>
    <t>Funded project report record (2025)</t>
  </si>
  <si>
    <t>C033: current Manko wetland restoration, citizen science and environmental education</t>
  </si>
  <si>
    <t>https://www.jstage.jst.go.jp/article/pronatura/34/0/34_207/_pdf/-char/en</t>
  </si>
  <si>
    <t>S225</t>
  </si>
  <si>
    <t>Government webpage record (2008)</t>
  </si>
  <si>
    <t>C034: government-supported formation and cross-sector purpose</t>
  </si>
  <si>
    <t>https://www.pref.okinawa.jp/kurashikankyo/kankyo/1004287/1004527.html</t>
  </si>
  <si>
    <t>S226</t>
  </si>
  <si>
    <t>Organization website record (2007)</t>
  </si>
  <si>
    <t>C034: preparatory meetings, 2008 founding and governance structure</t>
  </si>
  <si>
    <t>https://ocrcc.sakura.ne.jp/about/keii.html</t>
  </si>
  <si>
    <t>S227</t>
  </si>
  <si>
    <t>Organization program document</t>
  </si>
  <si>
    <t>Organization program document record (2024)</t>
  </si>
  <si>
    <t>C034: dated council-led coordination/program activity</t>
  </si>
  <si>
    <t>https://ocrcc.sakura.ne.jp/doc/sango_week/sw_application2024.pdf</t>
  </si>
  <si>
    <t>S228</t>
  </si>
  <si>
    <t>Organization financial filing</t>
  </si>
  <si>
    <t>Turtle Island Restoration Network Form 990 public disclosure</t>
  </si>
  <si>
    <t>A086 identity: yes | direct issue support: mission_only</t>
  </si>
  <si>
    <t>https://seaturtles.org/wp-content/uploads/2025/01/TIRN-6.30.2024-Public-Disclosure-Copy-2.pdf</t>
  </si>
  <si>
    <t>S229</t>
  </si>
  <si>
    <t>Party legal filing</t>
  </si>
  <si>
    <t>Opening Brief, Center for Biological Diversity et al. v. Esper</t>
  </si>
  <si>
    <t>A086 identity: yes_named_party | direct issue support: yes_case_specific</t>
  </si>
  <si>
    <t>https://seaturtles.org/wp-content/uploads/2019/01/19-01-02-OPENING-BRIEF.pdf</t>
  </si>
  <si>
    <t>S230</t>
  </si>
  <si>
    <t>Organization site record (2025)</t>
  </si>
  <si>
    <t>A087 identity: yes | direct issue support: yes_positioning</t>
  </si>
  <si>
    <t>https://www.ishiji.org/about</t>
  </si>
  <si>
    <t>S231</t>
  </si>
  <si>
    <t>Official JICA partner page</t>
  </si>
  <si>
    <t>Official JICA partner page record (2022)</t>
  </si>
  <si>
    <t>A088 identity: yes | direct issue support: yes_positioning</t>
  </si>
  <si>
    <t>https://www.jica.go.jp/domestic/okinawa/activities/kaihatsu/festival/2022/organization_02/08.html</t>
  </si>
  <si>
    <t>S232</t>
  </si>
  <si>
    <t>Official JICA project record</t>
  </si>
  <si>
    <t>Official JICA project record record (2023)</t>
  </si>
  <si>
    <t>A088 identity: yes_designated_organization | direct issue support: yes_project_specific</t>
  </si>
  <si>
    <t>https://www.jica.go.jp/domestic/okinawa/information/topics/2023/1525168_14644.html</t>
  </si>
  <si>
    <t>S233</t>
  </si>
  <si>
    <t>Organization site subunit page</t>
  </si>
  <si>
    <t>Organization site subunit page record (2026)</t>
  </si>
  <si>
    <t>A089 identity: yes_parent_site | direct issue support: yes_with_attribution_caveat</t>
  </si>
  <si>
    <t>https://www.oki-tu.org/branch</t>
  </si>
  <si>
    <t>Organization action record record (2024)</t>
  </si>
  <si>
    <t>A091 identity: yes | direct issue support: yes_repeated_program</t>
  </si>
  <si>
    <t>https://www.rengo-okinawa.jp/cat-news/post-2174/</t>
  </si>
  <si>
    <t>S235</t>
  </si>
  <si>
    <t>Organization action record record (2025)</t>
  </si>
  <si>
    <t>A091 identity: yes | direct issue support: yes_declared_direction</t>
  </si>
  <si>
    <t>https://www.rengo-okinawa.jp/cat-news/post-2414/</t>
  </si>
  <si>
    <t>S236</t>
  </si>
  <si>
    <t>A093 identity: yes | direct issue support: no</t>
  </si>
  <si>
    <t>https://www.jichiro.okinawa/about.php</t>
  </si>
  <si>
    <t>Local newspaper</t>
  </si>
  <si>
    <t>Local newspaper record (2015)</t>
  </si>
  <si>
    <t>A095 identity: yes_secondary | direct issue support: yes_foundation_event</t>
  </si>
  <si>
    <t>https://www.miyakomainichi.com/news/post-76312/</t>
  </si>
  <si>
    <t>A095 identity: yes_secondary | direct issue support: yes_event_specific</t>
  </si>
  <si>
    <t>https://www.miyakomainichi.com/news/post-81162/</t>
  </si>
  <si>
    <t>S239</t>
  </si>
  <si>
    <t>Official legislative record record (2015)</t>
  </si>
  <si>
    <t>A096 identity: yes_named_petitioner | direct issue support: yes_procedural_action</t>
  </si>
  <si>
    <t>https://www.city.miyakojima.lg.jp/gyosei/gikai/files/h27.6.dai4kaikaigiroku.pdf</t>
  </si>
  <si>
    <t>Local newspaper record (2011)</t>
  </si>
  <si>
    <t>A096 identity: yes_secondary | direct issue support: yes_event_specific</t>
  </si>
  <si>
    <t>https://www.miyakomainichi.com/2011/06/20401/</t>
  </si>
  <si>
    <t>A097 identity: yes | direct issue support: yes_program_specific</t>
  </si>
  <si>
    <t>https://www.npo-mec.net/services</t>
  </si>
  <si>
    <t>A098 identity: yes | direct issue support: yes_statutory_purpose</t>
  </si>
  <si>
    <t>https://econet.jpn.org/outline</t>
  </si>
  <si>
    <t>S243</t>
  </si>
  <si>
    <t>Organization action record record (2022)</t>
  </si>
  <si>
    <t>A099 identity: yes | direct issue support: yes_event_specific</t>
  </si>
  <si>
    <t>https://darkwater.okinawa/pfas%E8%A1%80%E4%B8%AD%E6%BF%83%E5%BA%A6%E8%AA%BF%E6%9F%BB%E3%81%B8%E3%80%80%E5%B8%82%E6%B0%91%E9%80%A3%E7%B5%A1%E4%BC%9A%E3%81%8C%E6%8B%A1%E5%A4%A7%E5%B9%B9%E4%BA%8B%E4%BC%9A%EF%BC%885%E6%9C%8825/</t>
  </si>
  <si>
    <t>S244</t>
  </si>
  <si>
    <t>Main local newspaper</t>
  </si>
  <si>
    <t>Main local newspaper record (2024)</t>
  </si>
  <si>
    <t>A100 identity: yes_secondary | direct issue support: yes_event_specific</t>
  </si>
  <si>
    <t>https://ryukyushimpo.jp/news/national/entry-2869997.html</t>
  </si>
  <si>
    <t>A101 identity: yes | direct issue support: yes_positioning</t>
  </si>
  <si>
    <t>https://ryukyukohp.jimdofree.com/%E3%83%9B%E3%83%BC%E3%83%A0/%E6%B2%96%E7%B8%84-%E7%90%89%E7%90%83%E5%BC%A7%E3%81%AE%E5%A3%B0%E3%81%A8%E3%81%AF/</t>
  </si>
  <si>
    <t>S246</t>
  </si>
  <si>
    <t>Organization event record</t>
  </si>
  <si>
    <t>Organization event record record (2023)</t>
  </si>
  <si>
    <t>A101 identity: yes | direct issue support: yes_event_specific</t>
  </si>
  <si>
    <t>https://ryukyukohp.jimdofree.com/%E3%83%9B%E3%83%BC%E3%83%A0/%E7%AC%AC1%E5%9B%9E-2023-11-12/</t>
  </si>
  <si>
    <t>S247</t>
  </si>
  <si>
    <t>Organization statement record (2025)</t>
  </si>
  <si>
    <t>A101 identity: yes_continuity | direct issue support: yes_event_specific</t>
  </si>
  <si>
    <t>https://ryukyukohp.jimdofree.com/%E3%83%9B%E3%83%BC%E3%83%A0/%E5%A3%B0%E6%98%8E-%E6%8F%90%E8%A8%80/</t>
  </si>
  <si>
    <t>S248</t>
  </si>
  <si>
    <t>Official data record (2015)</t>
  </si>
  <si>
    <t>2014 election-window date and official institutional context only</t>
  </si>
  <si>
    <t>https://www.pref.okinawa.jp/_res/projects/default_project/_page_/001/004/927/h26nenpou.pdf</t>
  </si>
  <si>
    <t>S249</t>
  </si>
  <si>
    <t>Organization report record (2014)</t>
  </si>
  <si>
    <t>2014 Shimagurumi founding as issue-campaign window and non-endorsement boundary</t>
  </si>
  <si>
    <t>https://www.ywca.or.jp/pdf/2014/0716.pdf</t>
  </si>
  <si>
    <t>S250</t>
  </si>
  <si>
    <t>Local news record (2014)</t>
  </si>
  <si>
    <t>2014 women-group request to Takeshi Onaga to stand</t>
  </si>
  <si>
    <t>https://www.qab.co.jp/news/2014082157456.html</t>
  </si>
  <si>
    <t>S251</t>
  </si>
  <si>
    <t>2014 women request-body scale/context; second source to QAB</t>
  </si>
  <si>
    <t>https://www.jcp.or.jp/akahata/aik14/2014-08-22/2014082204_01_1.html</t>
  </si>
  <si>
    <t>S252</t>
  </si>
  <si>
    <t>2014 public endorsement/mobilization meeting</t>
  </si>
  <si>
    <t>https://www.jcp.or.jp/akahata/aik14/2014-10-11/2014101104_01_1.html</t>
  </si>
  <si>
    <t>S253</t>
  </si>
  <si>
    <t>Community site record (2015)</t>
  </si>
  <si>
    <t>2014 youth observation/dialogue intervention；retrospective first-person participant account。</t>
  </si>
  <si>
    <t>https://www.magazine9.jp/article/yuntacrew/18975</t>
  </si>
  <si>
    <t>S254</t>
  </si>
  <si>
    <t>Organization statement record (2014)</t>
  </si>
  <si>
    <t>https://www.shinfujin.gr.jp/2943</t>
  </si>
  <si>
    <t>S255</t>
  </si>
  <si>
    <t>Official data record (2018)</t>
  </si>
  <si>
    <t>2018 election-window date and institutional context only</t>
  </si>
  <si>
    <t>https://www.pref.okinawa.jp/kensei/senkyo/1005009/1023802/1021246.html</t>
  </si>
  <si>
    <t>S256</t>
  </si>
  <si>
    <t>2018 pre-election issue campaign supporting a gubernatorial administrative act</t>
  </si>
  <si>
    <t>https://ryukyushimpo.jp/news/entry-770040.html</t>
  </si>
  <si>
    <t>S257</t>
  </si>
  <si>
    <t>Organization event record record (2018)</t>
  </si>
  <si>
    <t>2018 issue campaign and memorial rally; no candidate endorsement coded</t>
  </si>
  <si>
    <t>https://all-okinawa.jp/492</t>
  </si>
  <si>
    <t>S258</t>
  </si>
  <si>
    <t>https://ryukyushimpo.jp/news/entry-789039.html</t>
  </si>
  <si>
    <t>S259</t>
  </si>
  <si>
    <t>Academic article record (2019)</t>
  </si>
  <si>
    <t>https://www.jstage.jst.go.jp/article/isvsjapan/19/0/19_45/_pdf/-char/en</t>
  </si>
  <si>
    <t>S260</t>
  </si>
  <si>
    <t>Organization statement record (2018)</t>
  </si>
  <si>
    <t>2018 post-result public interpretation and bounded self-report</t>
  </si>
  <si>
    <t>https://www.shinfujin.gr.jp/wp-content/uploads/2018/11/20181003_seimei_okinawatidisen.pdf</t>
  </si>
  <si>
    <t>S261</t>
  </si>
  <si>
    <t>Official data record (2022)</t>
  </si>
  <si>
    <t>https://www.pref.okinawa.jp/kensei/senkyo/1005009/1023802/1025046/index.html</t>
  </si>
  <si>
    <t>S262</t>
  </si>
  <si>
    <t>2022 women-led candidate-entry request</t>
  </si>
  <si>
    <t>https://ryukyushimpo.jp/news/entry-1499534.html</t>
  </si>
  <si>
    <t>S263</t>
  </si>
  <si>
    <t>https://www.min-iren.gr.jp/news-press/shinbun/20220816_46093.html</t>
  </si>
  <si>
    <t>S264</t>
  </si>
  <si>
    <t>Organization event record record (2022)</t>
  </si>
  <si>
    <t>2022 election-adjacent issue campaign</t>
  </si>
  <si>
    <t>https://all-okinawa.jp/2005</t>
  </si>
  <si>
    <t>S265</t>
  </si>
  <si>
    <t>https://www.okinawatimes.co.jp/articles/-/1000372</t>
  </si>
  <si>
    <t>S266</t>
  </si>
  <si>
    <t>Organization statement record (2022)</t>
  </si>
  <si>
    <t>2022 organization endorsement/campaign call</t>
  </si>
  <si>
    <t>https://www.shinfujin.gr.jp/up/newspaper/12908</t>
  </si>
  <si>
    <t>S267</t>
  </si>
  <si>
    <t>2022 multi-issue candidate observation and public deliberation</t>
  </si>
  <si>
    <t>https://ryukyushimpo.jp/news/entry-1579341.html</t>
  </si>
  <si>
    <t>S268</t>
  </si>
  <si>
    <t>Party News record (2022)</t>
  </si>
  <si>
    <t>2022 women public endorsement meeting</t>
  </si>
  <si>
    <t>https://www.jcp.or.jp/akahata/aik22/2022-08-14/2022081403_01_0.html</t>
  </si>
  <si>
    <t>S269</t>
  </si>
  <si>
    <t>https://miyakojima-tikasui.com/crisis.html</t>
  </si>
  <si>
    <t>S270</t>
  </si>
  <si>
    <t>Organization program document record (2021)</t>
  </si>
  <si>
    <t>A dated ordinance/monitoring proposal explicitly covering SDF-facility wastewater risks</t>
  </si>
  <si>
    <t>https://miyakojima-tikasui.com/report_activity/2021-10-08-04.pdf</t>
  </si>
  <si>
    <t>S271</t>
  </si>
  <si>
    <t>https://www.city.miyakojima.lg.jp/kurashi/seikatsu/kankyohozen/files/tikasui.pdf</t>
  </si>
  <si>
    <t>S272</t>
  </si>
  <si>
    <t>Independent 2020 identity, leadership and local-policy intervention</t>
  </si>
  <si>
    <t>https://ryukyushimpo.jp/news/entry-1254033.html</t>
  </si>
  <si>
    <t>S273</t>
  </si>
  <si>
    <t>Official legislative record record (2023)</t>
  </si>
  <si>
    <t>https://www.city.ginowan.lg.jp/material/files/group/61/hukusi_202212.pdf</t>
  </si>
  <si>
    <t>S274</t>
  </si>
  <si>
    <t>Official legislative record record (2022)</t>
  </si>
  <si>
    <t>Official recognition of the group's sampling and its consequence for a municipal opinion</t>
  </si>
  <si>
    <t>https://www.city.ginowan.lg.jp/material/files/group/61/ikensyo1.pdf</t>
  </si>
  <si>
    <t>S275</t>
  </si>
  <si>
    <t>News record (2022)</t>
  </si>
  <si>
    <t>https://www.asahi.com/articles/ASQ9S5J0LQ96TPOB004.html</t>
  </si>
  <si>
    <t>S276</t>
  </si>
  <si>
    <t>Local news record (2021)</t>
  </si>
  <si>
    <t>2021 organization identity and request for disclosure/health investigation</t>
  </si>
  <si>
    <t>https://ryukyushimpo.jp/news/entry-1421139.html</t>
  </si>
  <si>
    <t>S277</t>
  </si>
  <si>
    <t>2023 continuity and request for citizen participation in a city-base meeting</t>
  </si>
  <si>
    <t>https://ryukyushimpo.jp/news/entry-1730706.html</t>
  </si>
  <si>
    <t>S278</t>
  </si>
  <si>
    <t>News record (2026)</t>
  </si>
  <si>
    <t>https://newsdig.tbs.co.jp/articles/-/2642471?display=1</t>
  </si>
  <si>
    <t>S279</t>
  </si>
  <si>
    <t>Party News record (2026)</t>
  </si>
  <si>
    <t>https://www.jcp.or.jp/akahata/aik25/2026-02-16/2026021611_01_0.php</t>
  </si>
  <si>
    <t>S280</t>
  </si>
  <si>
    <t>https://www.shinfujin.gr.jp/about/organization</t>
  </si>
  <si>
    <t>S281</t>
  </si>
  <si>
    <t>Organization statement record (2024)</t>
  </si>
  <si>
    <t>Exact local-unit name, chair and direct military-violence/human-rights request role</t>
  </si>
  <si>
    <t>https://www.shinfujin.gr.jp/wp-content/uploads/2024/06/%E7%B1%B3%E5%85%B5%E5%B0%91%E5%A5%B3%E6%9A%B4%E8%A1%8C%E4%BA%8B%E4%BB%B6%E3%80%80%E5%86%85%E9%96%A3%E7%B7%8F%E7%90%86%E5%A4%A7%E8%87%A3%E5%B2%B8%E7%94%B0%E6%96%87%E9%9B%84%E6%A7%981.pdf</t>
  </si>
  <si>
    <t>S282</t>
  </si>
  <si>
    <t>Prefectural official record (2008)</t>
  </si>
  <si>
    <t>https://www.pref.okinawa.lg.jp/_res/projects/default_project/_page_/001/014/905/h20gyouseikiroku.pdf</t>
  </si>
  <si>
    <t>Party News record (2018)</t>
  </si>
  <si>
    <t>Okinawa-headquarters organization identity and Henoko referendum-signature campaign role</t>
  </si>
  <si>
    <t>https://www.jcp.or.jp/akahata/aik18/2018-06-18/2018061801_03_1.html</t>
  </si>
  <si>
    <t>S284</t>
  </si>
  <si>
    <t>Legal source record (2014)</t>
  </si>
  <si>
    <t>Formal exact identity and regional-union party status</t>
  </si>
  <si>
    <t>https://www.mhlw.go.jp/churoi/meirei_db/mei/pdf/m11367.pdf</t>
  </si>
  <si>
    <t>S285</t>
  </si>
  <si>
    <t>Prefectural official record (2026)</t>
  </si>
  <si>
    <t>https://www.pref.okinawa.lg.jp/shigoto/koyorodo/1012030/1012056.html</t>
  </si>
  <si>
    <t>S286</t>
  </si>
  <si>
    <t>Direct anti-Henoko/security-law labor action and port-workplace framing</t>
  </si>
  <si>
    <t>https://ryukyushimpo.jp/news/prentry-249100.html</t>
  </si>
  <si>
    <t>S287</t>
  </si>
  <si>
    <t>Official recipient-side record of the union's Ishigaki/Naha port action plan and stated safety frame</t>
  </si>
  <si>
    <t>https://www.city.ishigaki.okinawa.jp/material/files/group/33/giin-2024-3.pdf</t>
  </si>
  <si>
    <t>S288</t>
  </si>
  <si>
    <t>https://kokkai.ndl.go.jp/simple/detail?minId=121315359X00520240524</t>
  </si>
  <si>
    <t>S289</t>
  </si>
  <si>
    <t>Organization report record (2025)</t>
  </si>
  <si>
    <t>Current branch-level peace-march and base-issue learning activity</t>
  </si>
  <si>
    <t>https://www.zenkowan.org/wp-content/uploads/2025/06/%E6%B2%96%E7%B8%84%E5%9C%B0%E6%96%B9%E3%80%80%E6%AF%94%E5%98%89%E5%8B%81%E5%B8%8C.pdf</t>
  </si>
  <si>
    <t>S290</t>
  </si>
  <si>
    <t>Community site record (Undated)</t>
  </si>
  <si>
    <t>https://yaimatime.com/schedule/archive/2302/12/23</t>
  </si>
  <si>
    <t>S291</t>
  </si>
  <si>
    <t>Exact identity, representative, and organizer-side public role in a multi-organizer anti-deployment rally.</t>
  </si>
  <si>
    <t>https://ryukyushimpo.jp/news/entry-209354.html</t>
  </si>
  <si>
    <t>S292</t>
  </si>
  <si>
    <t>Magazine news record (2017)</t>
  </si>
  <si>
    <t>2017 identity/leadership and war-memory framing of SDF deployment</t>
  </si>
  <si>
    <t>https://www.kinyobi.co.jp/kinyobinews/2017/01/25/%E9%99%B8%E8%87%AA%E9%85%8D%E5%82%99%E3%81%A7%E3%80%8C%E5%8F%97%E3%81%91%E5%85%A5%E3%82%8C%E3%80%8D%E8%A1%A8%E6%98%8E%E2%80%95%E2%80%95%E4%BD%8F%E6%B0%91%E8%A3%8F%E5%88%87%E3%82%8A%E3%81%AE%E7%9F%B3</t>
  </si>
  <si>
    <t>S293</t>
  </si>
  <si>
    <t>Event report record (2017)</t>
  </si>
  <si>
    <t>A second 2017 organizer observation tied directly to SDF deployment</t>
  </si>
  <si>
    <t>https://iwj.co.jp/wj/open/archives/374937</t>
  </si>
  <si>
    <t>S294</t>
  </si>
  <si>
    <t>Academic Presentation</t>
  </si>
  <si>
    <t>Militarizing a Border Island: Local Struggles Supporting and Opposing a Military Base Installation in Ishigaki Island, Okinawa</t>
  </si>
  <si>
    <t>https://researchmap.jp/teppy/presentations/10378736/attachment_file.pdf</t>
  </si>
  <si>
    <t>S295</t>
  </si>
  <si>
    <t>Media record record (2016)</t>
  </si>
  <si>
    <t>A107 bounded issue link: YWCA-authored article records Okinawa-resident YWCA members speaking about U.S. bases women's human rights and peace</t>
  </si>
  <si>
    <t>https://www.earth-garden.jp/study/51190/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</si>
</sst>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family val="2"/>
      <scheme val="minor"/>
    </font>
    <font>
      <b/>
      <sz val="20"/>
      <color rgb="FFFFFFFF"/>
      <name val="Aptos Display"/>
    </font>
    <font>
      <sz val="10"/>
      <color rgb="FF12343B"/>
      <name val="Aptos"/>
    </font>
    <font>
      <b/>
      <sz val="10"/>
      <color rgb="FFFFFFFF"/>
      <name val="Aptos"/>
    </font>
    <font>
      <sz val="9"/>
      <color rgb="FF12343B"/>
      <name val="Aptos"/>
    </font>
    <font>
      <sz val="12"/>
      <color theme="10"/>
      <name val="宋体"/>
      <family val="2"/>
      <scheme val="minor"/>
    </font>
    <font>
      <b/>
      <sz val="24"/>
      <color rgb="FFFFFFFF"/>
      <name val="Aptos Display"/>
    </font>
    <font>
      <sz val="11"/>
      <color rgb="FF12343B"/>
      <name val="Aptos"/>
    </font>
    <font>
      <b/>
      <sz val="10"/>
      <color rgb="FF0B626A"/>
      <name val="Aptos"/>
    </font>
    <font>
      <b/>
      <sz val="23"/>
      <color rgb="FF12343B"/>
      <name val="Aptos Display"/>
    </font>
    <font>
      <b/>
      <sz val="15"/>
      <color rgb="FF12343B"/>
      <name val="Aptos Display"/>
    </font>
    <font>
      <b/>
      <sz val="11"/>
      <color rgb="FFFFFFFF"/>
      <name val="Aptos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2343B"/>
      </patternFill>
    </fill>
    <fill>
      <patternFill patternType="solid">
        <fgColor rgb="FFDDECE9"/>
      </patternFill>
    </fill>
    <fill>
      <patternFill patternType="solid">
        <fgColor rgb="FF0B626A"/>
      </patternFill>
    </fill>
    <fill>
      <patternFill patternType="solid">
        <fgColor rgb="FFEEF1EF"/>
      </patternFill>
    </fill>
    <fill>
      <patternFill patternType="solid">
        <fgColor rgb="FFF7F5EF"/>
      </patternFill>
    </fill>
    <fill>
      <patternFill patternType="solid">
        <fgColor rgb="FFDDEDE7"/>
      </patternFill>
    </fill>
    <fill>
      <patternFill patternType="solid">
        <fgColor rgb="FFF7E9C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D4DEDB"/>
      </left>
      <right style="thin">
        <color rgb="FFD4DEDB"/>
      </right>
      <top style="thin">
        <color rgb="FFD4DEDB"/>
      </top>
      <bottom/>
      <diagonal/>
    </border>
    <border>
      <left style="thin">
        <color rgb="FFD4DEDB"/>
      </left>
      <right style="thin">
        <color rgb="FFD4DEDB"/>
      </right>
      <top/>
      <bottom style="thin">
        <color rgb="FFD4DEDB"/>
      </bottom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11" fillId="4" borderId="0" xfId="0" applyFont="1" applyFill="1"/>
    <xf numFmtId="0" fontId="0" fillId="7" borderId="0" xfId="0" applyFill="1"/>
    <xf numFmtId="3" fontId="0" fillId="0" borderId="0" xfId="0" applyNumberFormat="1"/>
    <xf numFmtId="0" fontId="0" fillId="8" borderId="0" xfId="0" applyFill="1"/>
    <xf numFmtId="0" fontId="3" fillId="4" borderId="0" xfId="0" applyFont="1" applyFill="1" applyAlignment="1">
      <alignment vertical="center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3" fontId="4" fillId="0" borderId="0" xfId="0" applyNumberFormat="1" applyFont="1" applyAlignment="1">
      <alignment vertical="top" wrapText="1"/>
    </xf>
    <xf numFmtId="0" fontId="5" fillId="0" borderId="0" xfId="1"/>
    <xf numFmtId="0" fontId="10" fillId="0" borderId="0" xfId="0" applyFont="1"/>
    <xf numFmtId="0" fontId="0" fillId="0" borderId="0" xfId="0"/>
    <xf numFmtId="0" fontId="9" fillId="6" borderId="2" xfId="0" applyFont="1" applyFill="1" applyBorder="1" applyAlignment="1">
      <alignment horizontal="center" vertical="center"/>
    </xf>
    <xf numFmtId="0" fontId="0" fillId="0" borderId="2" xfId="0" applyBorder="1"/>
    <xf numFmtId="0" fontId="8" fillId="5" borderId="1" xfId="0" applyFont="1" applyFill="1" applyBorder="1" applyAlignment="1">
      <alignment horizontal="center" vertical="center"/>
    </xf>
    <xf numFmtId="0" fontId="0" fillId="0" borderId="1" xfId="0" applyBorder="1"/>
    <xf numFmtId="0" fontId="7" fillId="3" borderId="0" xfId="0" applyFont="1" applyFill="1" applyAlignment="1">
      <alignment vertical="center"/>
    </xf>
    <xf numFmtId="0" fontId="2" fillId="9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2" fillId="6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</cellXfs>
  <cellStyles count="2">
    <cellStyle name="常规" xfId="0" builtinId="0"/>
    <cellStyle name="超链接" xfId="1" builtinId="8"/>
  </cellStyles>
  <dxfs count="42">
    <dxf>
      <font>
        <color rgb="FFA84A4A"/>
      </font>
      <fill>
        <patternFill patternType="solid">
          <fgColor rgb="FFF3DDDD"/>
        </patternFill>
      </fill>
    </dxf>
    <dxf>
      <font>
        <color rgb="FF7A5818"/>
      </font>
      <fill>
        <patternFill patternType="solid">
          <fgColor rgb="FFF7E9C9"/>
        </patternFill>
      </fill>
    </dxf>
    <dxf>
      <font>
        <color rgb="FF3A7D68"/>
      </font>
      <fill>
        <patternFill patternType="solid">
          <fgColor rgb="FFDDEDE7"/>
        </patternFill>
      </fill>
    </dxf>
    <dxf>
      <font>
        <color rgb="FFA84A4A"/>
      </font>
      <fill>
        <patternFill patternType="solid">
          <fgColor rgb="FFF3DDDD"/>
        </patternFill>
      </fill>
    </dxf>
    <dxf>
      <font>
        <color rgb="FF7A5818"/>
      </font>
      <fill>
        <patternFill patternType="solid">
          <fgColor rgb="FFF7E9C9"/>
        </patternFill>
      </fill>
    </dxf>
    <dxf>
      <font>
        <color rgb="FF3A7D68"/>
      </font>
      <fill>
        <patternFill patternType="solid">
          <fgColor rgb="FFDDEDE7"/>
        </patternFill>
      </fill>
    </dxf>
    <dxf>
      <font>
        <color rgb="FFA84A4A"/>
      </font>
      <fill>
        <patternFill patternType="solid">
          <fgColor rgb="FFF3DDDD"/>
        </patternFill>
      </fill>
    </dxf>
    <dxf>
      <font>
        <color rgb="FF7A5818"/>
      </font>
      <fill>
        <patternFill patternType="solid">
          <fgColor rgb="FFF7E9C9"/>
        </patternFill>
      </fill>
    </dxf>
    <dxf>
      <font>
        <color rgb="FF3A7D68"/>
      </font>
      <fill>
        <patternFill patternType="solid">
          <fgColor rgb="FFDDEDE7"/>
        </patternFill>
      </fill>
    </dxf>
    <dxf>
      <font>
        <color rgb="FFA84A4A"/>
      </font>
      <fill>
        <patternFill patternType="solid">
          <fgColor rgb="FFF3DDDD"/>
        </patternFill>
      </fill>
    </dxf>
    <dxf>
      <font>
        <color rgb="FF7A5818"/>
      </font>
      <fill>
        <patternFill patternType="solid">
          <fgColor rgb="FFF7E9C9"/>
        </patternFill>
      </fill>
    </dxf>
    <dxf>
      <font>
        <color rgb="FF3A7D68"/>
      </font>
      <fill>
        <patternFill patternType="solid">
          <fgColor rgb="FFDDEDE7"/>
        </patternFill>
      </fill>
    </dxf>
    <dxf>
      <font>
        <color rgb="FFA84A4A"/>
      </font>
      <fill>
        <patternFill patternType="solid">
          <fgColor rgb="FFF3DDDD"/>
        </patternFill>
      </fill>
    </dxf>
    <dxf>
      <font>
        <color rgb="FF7A5818"/>
      </font>
      <fill>
        <patternFill patternType="solid">
          <fgColor rgb="FFF7E9C9"/>
        </patternFill>
      </fill>
    </dxf>
    <dxf>
      <font>
        <color rgb="FF3A7D68"/>
      </font>
      <fill>
        <patternFill patternType="solid">
          <fgColor rgb="FFDDEDE7"/>
        </patternFill>
      </fill>
    </dxf>
    <dxf>
      <font>
        <color rgb="FFA84A4A"/>
      </font>
      <fill>
        <patternFill patternType="solid">
          <fgColor rgb="FFF3DDDD"/>
        </patternFill>
      </fill>
    </dxf>
    <dxf>
      <font>
        <color rgb="FF7A5818"/>
      </font>
      <fill>
        <patternFill patternType="solid">
          <fgColor rgb="FFF7E9C9"/>
        </patternFill>
      </fill>
    </dxf>
    <dxf>
      <font>
        <color rgb="FF3A7D68"/>
      </font>
      <fill>
        <patternFill patternType="solid">
          <fgColor rgb="FFDDEDE7"/>
        </patternFill>
      </fill>
    </dxf>
    <dxf>
      <font>
        <color rgb="FFA84A4A"/>
      </font>
      <fill>
        <patternFill patternType="solid">
          <fgColor rgb="FFF3DDDD"/>
        </patternFill>
      </fill>
    </dxf>
    <dxf>
      <font>
        <color rgb="FF7A5818"/>
      </font>
      <fill>
        <patternFill patternType="solid">
          <fgColor rgb="FFF7E9C9"/>
        </patternFill>
      </fill>
    </dxf>
    <dxf>
      <font>
        <color rgb="FF3A7D68"/>
      </font>
      <fill>
        <patternFill patternType="solid">
          <fgColor rgb="FFDDEDE7"/>
        </patternFill>
      </fill>
    </dxf>
    <dxf>
      <font>
        <color rgb="FFA84A4A"/>
      </font>
      <fill>
        <patternFill patternType="solid">
          <fgColor rgb="FFF3DDDD"/>
        </patternFill>
      </fill>
    </dxf>
    <dxf>
      <font>
        <color rgb="FF7A5818"/>
      </font>
      <fill>
        <patternFill patternType="solid">
          <fgColor rgb="FFF7E9C9"/>
        </patternFill>
      </fill>
    </dxf>
    <dxf>
      <font>
        <color rgb="FF3A7D68"/>
      </font>
      <fill>
        <patternFill patternType="solid">
          <fgColor rgb="FFDDEDE7"/>
        </patternFill>
      </fill>
    </dxf>
    <dxf>
      <font>
        <color rgb="FFA84A4A"/>
      </font>
      <fill>
        <patternFill patternType="solid">
          <fgColor rgb="FFF3DDDD"/>
        </patternFill>
      </fill>
    </dxf>
    <dxf>
      <font>
        <color rgb="FF7A5818"/>
      </font>
      <fill>
        <patternFill patternType="solid">
          <fgColor rgb="FFF7E9C9"/>
        </patternFill>
      </fill>
    </dxf>
    <dxf>
      <font>
        <color rgb="FF3A7D68"/>
      </font>
      <fill>
        <patternFill patternType="solid">
          <fgColor rgb="FFDDEDE7"/>
        </patternFill>
      </fill>
    </dxf>
    <dxf>
      <font>
        <color rgb="FFA84A4A"/>
      </font>
      <fill>
        <patternFill patternType="solid">
          <fgColor rgb="FFF3DDDD"/>
        </patternFill>
      </fill>
    </dxf>
    <dxf>
      <font>
        <color rgb="FF7A5818"/>
      </font>
      <fill>
        <patternFill patternType="solid">
          <fgColor rgb="FFF7E9C9"/>
        </patternFill>
      </fill>
    </dxf>
    <dxf>
      <font>
        <color rgb="FF3A7D68"/>
      </font>
      <fill>
        <patternFill patternType="solid">
          <fgColor rgb="FFDDEDE7"/>
        </patternFill>
      </fill>
    </dxf>
    <dxf>
      <font>
        <color rgb="FFA84A4A"/>
      </font>
      <fill>
        <patternFill patternType="solid">
          <fgColor rgb="FFF3DDDD"/>
        </patternFill>
      </fill>
    </dxf>
    <dxf>
      <font>
        <color rgb="FF7A5818"/>
      </font>
      <fill>
        <patternFill patternType="solid">
          <fgColor rgb="FFF7E9C9"/>
        </patternFill>
      </fill>
    </dxf>
    <dxf>
      <font>
        <color rgb="FF3A7D68"/>
      </font>
      <fill>
        <patternFill patternType="solid">
          <fgColor rgb="FFDDEDE7"/>
        </patternFill>
      </fill>
    </dxf>
    <dxf>
      <font>
        <color rgb="FFA84A4A"/>
      </font>
      <fill>
        <patternFill patternType="solid">
          <fgColor rgb="FFF3DDDD"/>
        </patternFill>
      </fill>
    </dxf>
    <dxf>
      <font>
        <color rgb="FF7A5818"/>
      </font>
      <fill>
        <patternFill patternType="solid">
          <fgColor rgb="FFF7E9C9"/>
        </patternFill>
      </fill>
    </dxf>
    <dxf>
      <font>
        <color rgb="FF3A7D68"/>
      </font>
      <fill>
        <patternFill patternType="solid">
          <fgColor rgb="FFDDEDE7"/>
        </patternFill>
      </fill>
    </dxf>
    <dxf>
      <font>
        <color rgb="FFA84A4A"/>
      </font>
      <fill>
        <patternFill patternType="solid">
          <fgColor rgb="FFF3DDDD"/>
        </patternFill>
      </fill>
    </dxf>
    <dxf>
      <font>
        <color rgb="FF7A5818"/>
      </font>
      <fill>
        <patternFill patternType="solid">
          <fgColor rgb="FFF7E9C9"/>
        </patternFill>
      </fill>
    </dxf>
    <dxf>
      <font>
        <color rgb="FF3A7D68"/>
      </font>
      <fill>
        <patternFill patternType="solid">
          <fgColor rgb="FFDDEDE7"/>
        </patternFill>
      </fill>
    </dxf>
    <dxf>
      <font>
        <color rgb="FFA84A4A"/>
      </font>
      <fill>
        <patternFill patternType="solid">
          <fgColor rgb="FFF3DDDD"/>
        </patternFill>
      </fill>
    </dxf>
    <dxf>
      <font>
        <color rgb="FF7A5818"/>
      </font>
      <fill>
        <patternFill patternType="solid">
          <fgColor rgb="FFF7E9C9"/>
        </patternFill>
      </fill>
    </dxf>
    <dxf>
      <font>
        <color rgb="FF3A7D68"/>
      </font>
      <fill>
        <patternFill patternType="solid">
          <fgColor rgb="FFDDED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Reviewed and Research Layers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Overview!$B$15</c:f>
              <c:strCache>
                <c:ptCount val="1"/>
                <c:pt idx="0">
                  <c:v>Records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Overview!$A$16:$A$17</c:f>
              <c:strCache>
                <c:ptCount val="2"/>
                <c:pt idx="0">
                  <c:v>Reviewed</c:v>
                </c:pt>
                <c:pt idx="1">
                  <c:v>Research</c:v>
                </c:pt>
              </c:strCache>
            </c:strRef>
          </c:cat>
          <c:val>
            <c:numRef>
              <c:f>Overview!$B$16:$B$17</c:f>
              <c:numCache>
                <c:formatCode>#,##0</c:formatCode>
                <c:ptCount val="2"/>
                <c:pt idx="0">
                  <c:v>141</c:v>
                </c:pt>
                <c:pt idx="1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9-4FBD-BAF6-B6DD1E10459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8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13</xdr:row>
      <xdr:rowOff>0</xdr:rowOff>
    </xdr:from>
    <xdr:ext cx="3311999" cy="18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orsTable" displayName="ActorsTable" ref="A4:K125">
  <autoFilter ref="A4:K125" xr:uid="{00000000-0009-0000-0100-000001000000}"/>
  <tableColumns count="11">
    <tableColumn id="1" xr3:uid="{00000000-0010-0000-0000-000001000000}" name="Actor ID"/>
    <tableColumn id="2" xr3:uid="{00000000-0010-0000-0000-000002000000}" name="English Name"/>
    <tableColumn id="3" xr3:uid="{00000000-0010-0000-0000-000003000000}" name="Actor Category"/>
    <tableColumn id="4" xr3:uid="{00000000-0010-0000-0000-000004000000}" name="Origin"/>
    <tableColumn id="5" xr3:uid="{00000000-0010-0000-0000-000005000000}" name="Legal Status"/>
    <tableColumn id="6" xr3:uid="{00000000-0010-0000-0000-000006000000}" name="Primary Places"/>
    <tableColumn id="7" xr3:uid="{00000000-0010-0000-0000-000007000000}" name="Issue Tags"/>
    <tableColumn id="8" xr3:uid="{00000000-0010-0000-0000-000008000000}" name="Evidence Level"/>
    <tableColumn id="9" xr3:uid="{00000000-0010-0000-0000-000009000000}" name="Review Status"/>
    <tableColumn id="10" xr3:uid="{00000000-0010-0000-0000-00000A000000}" name="Scope Status"/>
    <tableColumn id="11" xr3:uid="{00000000-0010-0000-0000-00000B000000}" name="Source I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ssuesTable" displayName="IssuesTable" ref="A4:E30">
  <autoFilter ref="A4:E30" xr:uid="{00000000-0009-0000-0100-000002000000}"/>
  <tableColumns count="5">
    <tableColumn id="1" xr3:uid="{00000000-0010-0000-0100-000001000000}" name="Issue ID"/>
    <tableColumn id="2" xr3:uid="{00000000-0010-0000-0100-000002000000}" name="Issue"/>
    <tableColumn id="3" xr3:uid="{00000000-0010-0000-0100-000003000000}" name="Issue Group"/>
    <tableColumn id="4" xr3:uid="{00000000-0010-0000-0100-000004000000}" name="Definition"/>
    <tableColumn id="5" xr3:uid="{00000000-0010-0000-0100-000005000000}" name="Included in Phase 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lacesTable" displayName="PlacesTable" ref="A4:F25">
  <autoFilter ref="A4:F25" xr:uid="{00000000-0009-0000-0100-000003000000}"/>
  <tableColumns count="6">
    <tableColumn id="1" xr3:uid="{00000000-0010-0000-0200-000001000000}" name="Place ID"/>
    <tableColumn id="2" xr3:uid="{00000000-0010-0000-0200-000002000000}" name="Place"/>
    <tableColumn id="3" xr3:uid="{00000000-0010-0000-0200-000003000000}" name="Place Type"/>
    <tableColumn id="4" xr3:uid="{00000000-0010-0000-0200-000004000000}" name="Region"/>
    <tableColumn id="5" xr3:uid="{00000000-0010-0000-0200-000005000000}" name="Research Relevance"/>
    <tableColumn id="6" xr3:uid="{00000000-0010-0000-0200-000006000000}" name="Prior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ctorIssueTable" displayName="ActorIssueTable" ref="A4:N287">
  <autoFilter ref="A4:N287" xr:uid="{00000000-0009-0000-0100-000004000000}"/>
  <tableColumns count="14">
    <tableColumn id="1" xr3:uid="{00000000-0010-0000-0300-000001000000}" name="Edge ID"/>
    <tableColumn id="2" xr3:uid="{00000000-0010-0000-0300-000002000000}" name="Actor ID"/>
    <tableColumn id="3" xr3:uid="{00000000-0010-0000-0300-000003000000}" name="Actor"/>
    <tableColumn id="4" xr3:uid="{00000000-0010-0000-0300-000004000000}" name="Issue ID"/>
    <tableColumn id="5" xr3:uid="{00000000-0010-0000-0300-000005000000}" name="Issue"/>
    <tableColumn id="6" xr3:uid="{00000000-0010-0000-0300-000006000000}" name="Issue Group"/>
    <tableColumn id="7" xr3:uid="{00000000-0010-0000-0300-000007000000}" name="Display Layer"/>
    <tableColumn id="8" xr3:uid="{00000000-0010-0000-0300-000008000000}" name="Review Status"/>
    <tableColumn id="9" xr3:uid="{00000000-0010-0000-0300-000009000000}" name="Evidence Level"/>
    <tableColumn id="10" xr3:uid="{00000000-0010-0000-0300-00000A000000}" name="Analysis Family"/>
    <tableColumn id="11" xr3:uid="{00000000-0010-0000-0300-00000B000000}" name="Documented Basis"/>
    <tableColumn id="12" xr3:uid="{00000000-0010-0000-0300-00000C000000}" name="Time Scope"/>
    <tableColumn id="13" xr3:uid="{00000000-0010-0000-0300-00000D000000}" name="Source IDs"/>
    <tableColumn id="14" xr3:uid="{00000000-0010-0000-0300-00000E000000}" name="Interpretation Limi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ctorPlaceTable" displayName="ActorPlaceTable" ref="A4:L134">
  <autoFilter ref="A4:L134" xr:uid="{00000000-0009-0000-0100-000005000000}"/>
  <tableColumns count="12">
    <tableColumn id="1" xr3:uid="{00000000-0010-0000-0400-000001000000}" name="Edge ID"/>
    <tableColumn id="2" xr3:uid="{00000000-0010-0000-0400-000002000000}" name="Actor ID"/>
    <tableColumn id="3" xr3:uid="{00000000-0010-0000-0400-000003000000}" name="Actor"/>
    <tableColumn id="4" xr3:uid="{00000000-0010-0000-0400-000004000000}" name="Place ID"/>
    <tableColumn id="5" xr3:uid="{00000000-0010-0000-0400-000005000000}" name="Place"/>
    <tableColumn id="6" xr3:uid="{00000000-0010-0000-0400-000006000000}" name="Place Meaning"/>
    <tableColumn id="7" xr3:uid="{00000000-0010-0000-0400-000007000000}" name="Display Layer"/>
    <tableColumn id="8" xr3:uid="{00000000-0010-0000-0400-000008000000}" name="Review Status"/>
    <tableColumn id="9" xr3:uid="{00000000-0010-0000-0400-000009000000}" name="Claim Status"/>
    <tableColumn id="10" xr3:uid="{00000000-0010-0000-0400-00000A000000}" name="Evidence Level"/>
    <tableColumn id="11" xr3:uid="{00000000-0010-0000-0400-00000B000000}" name="Source IDs"/>
    <tableColumn id="12" xr3:uid="{00000000-0010-0000-0400-00000C000000}" name="Interpretation Limi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ventsTable" displayName="EventsTable" ref="A4:O71">
  <autoFilter ref="A4:O71" xr:uid="{00000000-0009-0000-0100-000006000000}"/>
  <tableColumns count="15">
    <tableColumn id="1" xr3:uid="{00000000-0010-0000-0500-000001000000}" name="Record ID"/>
    <tableColumn id="2" xr3:uid="{00000000-0010-0000-0500-000002000000}" name="Event ID"/>
    <tableColumn id="3" xr3:uid="{00000000-0010-0000-0500-000003000000}" name="Event"/>
    <tableColumn id="4" xr3:uid="{00000000-0010-0000-0500-000004000000}" name="Year"/>
    <tableColumn id="5" xr3:uid="{00000000-0010-0000-0500-000005000000}" name="Participant ID"/>
    <tableColumn id="6" xr3:uid="{00000000-0010-0000-0500-000006000000}" name="Participant"/>
    <tableColumn id="7" xr3:uid="{00000000-0010-0000-0500-000007000000}" name="Entity Type"/>
    <tableColumn id="8" xr3:uid="{00000000-0010-0000-0500-000008000000}" name="Action Type"/>
    <tableColumn id="9" xr3:uid="{00000000-0010-0000-0500-000009000000}" name="Role"/>
    <tableColumn id="10" xr3:uid="{00000000-0010-0000-0500-00000A000000}" name="Venue"/>
    <tableColumn id="11" xr3:uid="{00000000-0010-0000-0500-00000B000000}" name="Target"/>
    <tableColumn id="12" xr3:uid="{00000000-0010-0000-0500-00000C000000}" name="Evidence Level"/>
    <tableColumn id="13" xr3:uid="{00000000-0010-0000-0500-00000D000000}" name="Display Layer"/>
    <tableColumn id="14" xr3:uid="{00000000-0010-0000-0500-00000E000000}" name="Source IDs"/>
    <tableColumn id="15" xr3:uid="{00000000-0010-0000-0500-00000F000000}" name="Interpretation Limi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ypedRelationsTable" displayName="TypedRelationsTable" ref="A4:S47">
  <autoFilter ref="A4:S47" xr:uid="{00000000-0009-0000-0100-000007000000}"/>
  <tableColumns count="19">
    <tableColumn id="1" xr3:uid="{00000000-0010-0000-0600-000001000000}" name="Record ID"/>
    <tableColumn id="2" xr3:uid="{00000000-0010-0000-0600-000002000000}" name="Display Layer"/>
    <tableColumn id="3" xr3:uid="{00000000-0010-0000-0600-000003000000}" name="Relation Family"/>
    <tableColumn id="4" xr3:uid="{00000000-0010-0000-0600-000004000000}" name="Relation Type"/>
    <tableColumn id="5" xr3:uid="{00000000-0010-0000-0600-000005000000}" name="Observation Kind"/>
    <tableColumn id="6" xr3:uid="{00000000-0010-0000-0600-000006000000}" name="Source ID"/>
    <tableColumn id="7" xr3:uid="{00000000-0010-0000-0600-000007000000}" name="Source Actor / Node"/>
    <tableColumn id="8" xr3:uid="{00000000-0010-0000-0600-000008000000}" name="Target ID"/>
    <tableColumn id="9" xr3:uid="{00000000-0010-0000-0600-000009000000}" name="Target Actor / Node"/>
    <tableColumn id="10" xr3:uid="{00000000-0010-0000-0600-00000A000000}" name="Event or Program"/>
    <tableColumn id="11" xr3:uid="{00000000-0010-0000-0600-00000B000000}" name="Amount"/>
    <tableColumn id="12" xr3:uid="{00000000-0010-0000-0600-00000C000000}" name="Currency"/>
    <tableColumn id="13" xr3:uid="{00000000-0010-0000-0600-00000D000000}" name="Amount Meaning"/>
    <tableColumn id="14" xr3:uid="{00000000-0010-0000-0600-00000E000000}" name="Date or Period"/>
    <tableColumn id="15" xr3:uid="{00000000-0010-0000-0600-00000F000000}" name="Evidence Level"/>
    <tableColumn id="16" xr3:uid="{00000000-0010-0000-0600-000010000000}" name="Review Status"/>
    <tableColumn id="17" xr3:uid="{00000000-0010-0000-0600-000011000000}" name="Claim Status"/>
    <tableColumn id="18" xr3:uid="{00000000-0010-0000-0600-000012000000}" name="Source IDs"/>
    <tableColumn id="19" xr3:uid="{00000000-0010-0000-0600-000013000000}" name="Interpretation Limi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LegalCasesTable" displayName="LegalCasesTable" ref="A4:O10">
  <autoFilter ref="A4:O10" xr:uid="{00000000-0009-0000-0100-000008000000}"/>
  <tableColumns count="15">
    <tableColumn id="1" xr3:uid="{00000000-0010-0000-0700-000001000000}" name="Case ID"/>
    <tableColumn id="2" xr3:uid="{00000000-0010-0000-0700-000002000000}" name="Case"/>
    <tableColumn id="3" xr3:uid="{00000000-0010-0000-0700-000003000000}" name="Place"/>
    <tableColumn id="4" xr3:uid="{00000000-0010-0000-0700-000004000000}" name="Jurisdiction"/>
    <tableColumn id="5" xr3:uid="{00000000-0010-0000-0700-000005000000}" name="Channel"/>
    <tableColumn id="6" xr3:uid="{00000000-0010-0000-0700-000006000000}" name="Procedure"/>
    <tableColumn id="7" xr3:uid="{00000000-0010-0000-0700-000007000000}" name="Start Date"/>
    <tableColumn id="8" xr3:uid="{00000000-0010-0000-0700-000008000000}" name="Decision Date"/>
    <tableColumn id="9" xr3:uid="{00000000-0010-0000-0700-000009000000}" name="Target Institution"/>
    <tableColumn id="10" xr3:uid="{00000000-0010-0000-0700-00000A000000}" name="Claim Summary"/>
    <tableColumn id="11" xr3:uid="{00000000-0010-0000-0700-00000B000000}" name="Outcome Summary"/>
    <tableColumn id="12" xr3:uid="{00000000-0010-0000-0700-00000C000000}" name="Source IDs"/>
    <tableColumn id="13" xr3:uid="{00000000-0010-0000-0700-00000D000000}" name="Evidence Level"/>
    <tableColumn id="14" xr3:uid="{00000000-0010-0000-0700-00000E000000}" name="Review Status"/>
    <tableColumn id="15" xr3:uid="{00000000-0010-0000-0700-00000F000000}" name="Interpretation Limi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LegalRolesTable" displayName="LegalRolesTable" ref="A4:N31">
  <autoFilter ref="A4:N31" xr:uid="{00000000-0009-0000-0100-000009000000}"/>
  <tableColumns count="14">
    <tableColumn id="1" xr3:uid="{00000000-0010-0000-0800-000001000000}" name="Role ID"/>
    <tableColumn id="2" xr3:uid="{00000000-0010-0000-0800-000002000000}" name="Case ID"/>
    <tableColumn id="3" xr3:uid="{00000000-0010-0000-0800-000003000000}" name="Entity ID"/>
    <tableColumn id="4" xr3:uid="{00000000-0010-0000-0800-000004000000}" name="Entity"/>
    <tableColumn id="5" xr3:uid="{00000000-0010-0000-0800-000005000000}" name="Entity Kind"/>
    <tableColumn id="6" xr3:uid="{00000000-0010-0000-0800-000006000000}" name="Role"/>
    <tableColumn id="7" xr3:uid="{00000000-0010-0000-0800-000007000000}" name="Role Family"/>
    <tableColumn id="8" xr3:uid="{00000000-0010-0000-0800-000008000000}" name="Side"/>
    <tableColumn id="9" xr3:uid="{00000000-0010-0000-0800-000009000000}" name="Target or Recipient"/>
    <tableColumn id="10" xr3:uid="{00000000-0010-0000-0800-00000A000000}" name="Evidence Summary"/>
    <tableColumn id="11" xr3:uid="{00000000-0010-0000-0800-00000B000000}" name="Source IDs"/>
    <tableColumn id="12" xr3:uid="{00000000-0010-0000-0800-00000C000000}" name="Evidence Level"/>
    <tableColumn id="13" xr3:uid="{00000000-0010-0000-0800-00000D000000}" name="Review Status"/>
    <tableColumn id="14" xr3:uid="{00000000-0010-0000-0800-00000E000000}" name="Interpretation Limi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ourcesTable" displayName="SourcesTable" ref="A4:I299">
  <autoFilter ref="A4:I299" xr:uid="{00000000-0009-0000-0100-00000A000000}"/>
  <tableColumns count="9">
    <tableColumn id="1" xr3:uid="{00000000-0010-0000-0900-000001000000}" name="Source ID"/>
    <tableColumn id="2" xr3:uid="{00000000-0010-0000-0900-000002000000}" name="Source Type"/>
    <tableColumn id="3" xr3:uid="{00000000-0010-0000-0900-000003000000}" name="English Source Label"/>
    <tableColumn id="4" xr3:uid="{00000000-0010-0000-0900-000004000000}" name="Year"/>
    <tableColumn id="5" xr3:uid="{00000000-0010-0000-0900-000005000000}" name="Evidence Level"/>
    <tableColumn id="6" xr3:uid="{00000000-0010-0000-0900-000006000000}" name="Review Status"/>
    <tableColumn id="7" xr3:uid="{00000000-0010-0000-0900-000007000000}" name="Archive Status"/>
    <tableColumn id="8" xr3:uid="{00000000-0010-0000-0900-000008000000}" name="Research Use"/>
    <tableColumn id="9" xr3:uid="{00000000-0010-0000-0900-000009000000}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ref.okinawa.lg.jp/_res/projects/default_project/_page_/001/026/790/r7_04gijigaiyou.pdf" TargetMode="External"/><Relationship Id="rId21" Type="http://schemas.openxmlformats.org/officeDocument/2006/relationships/hyperlink" Target="https://www.jcp.or.jp/akahata/aik19/2019-08-28/2019082814_01_1.html" TargetMode="External"/><Relationship Id="rId63" Type="http://schemas.openxmlformats.org/officeDocument/2006/relationships/hyperlink" Target="https://ryukyushimpo.jp/okinawa-dic/prentry-41677.html" TargetMode="External"/><Relationship Id="rId159" Type="http://schemas.openxmlformats.org/officeDocument/2006/relationships/hyperlink" Target="https://www.kinyobi.co.jp/kinyobinews/2023/04/04/antena-1238/" TargetMode="External"/><Relationship Id="rId170" Type="http://schemas.openxmlformats.org/officeDocument/2006/relationships/hyperlink" Target="https://www.city.miyakojima.lg.jp/soshiki/shityo/soumubu/bousaikikikannri/oshirase/2026-0513-1044-269.html" TargetMode="External"/><Relationship Id="rId226" Type="http://schemas.openxmlformats.org/officeDocument/2006/relationships/hyperlink" Target="https://ocrcc.sakura.ne.jp/about/keii.html" TargetMode="External"/><Relationship Id="rId268" Type="http://schemas.openxmlformats.org/officeDocument/2006/relationships/hyperlink" Target="https://www.jcp.or.jp/akahata/aik22/2022-08-14/2022081403_01_0.html" TargetMode="External"/><Relationship Id="rId32" Type="http://schemas.openxmlformats.org/officeDocument/2006/relationships/hyperlink" Target="https://www.nd-initiative.org/" TargetMode="External"/><Relationship Id="rId74" Type="http://schemas.openxmlformats.org/officeDocument/2006/relationships/hyperlink" Target="https://www.causeiq.com/organizations/american-womens-welfare-association%2C980227149/" TargetMode="External"/><Relationship Id="rId128" Type="http://schemas.openxmlformats.org/officeDocument/2006/relationships/hyperlink" Target="https://cdn.ca9.uscourts.gov/datastore/opinions/2017/08/21/15-15695.pdf" TargetMode="External"/><Relationship Id="rId5" Type="http://schemas.openxmlformats.org/officeDocument/2006/relationships/hyperlink" Target="https://peaceboat.org/3620.html" TargetMode="External"/><Relationship Id="rId181" Type="http://schemas.openxmlformats.org/officeDocument/2006/relationships/hyperlink" Target="https://www.oki-ngo.org/project" TargetMode="External"/><Relationship Id="rId237" Type="http://schemas.openxmlformats.org/officeDocument/2006/relationships/hyperlink" Target="https://www.miyakomainichi.com/news/post-76312/" TargetMode="External"/><Relationship Id="rId279" Type="http://schemas.openxmlformats.org/officeDocument/2006/relationships/hyperlink" Target="https://www.jcp.or.jp/akahata/aik25/2026-02-16/2026021611_01_0.php" TargetMode="External"/><Relationship Id="rId43" Type="http://schemas.openxmlformats.org/officeDocument/2006/relationships/hyperlink" Target="https://www.pref.okinawa.jp/heiwakichi/kichi/1017273/1017274/1025057/1029383.html" TargetMode="External"/><Relationship Id="rId139" Type="http://schemas.openxmlformats.org/officeDocument/2006/relationships/hyperlink" Target="https://ishigaki-tohyo.com/wp-content/uploads/2022/07/%E5%9C%A8%E5%A4%96%E6%97%A5%E6%9C%AC%E4%BA%BA%E5%9B%BD%E6%B0%91%E5%AF%A9%E6%9F%BB%E6%A8%A9%E7%A2%BA%E8%AA%8D%E7%AD%89%E8%AB%8B%E6%B1%82%E4%BA%8B%E4%BB%B6%E6%9C%80%E9%AB%98%E8%A3%81%E5%88%A4%E6%89%80%E5%A4%A7%E6%B3%95%E5%BB%B7%E5%88%A4%E6%B1%BA%E3%82%92%E8%B8%8F%E3%81%BE%E3%81%88%E3%81%9F-1.pdf" TargetMode="External"/><Relationship Id="rId290" Type="http://schemas.openxmlformats.org/officeDocument/2006/relationships/hyperlink" Target="https://yaimatime.com/schedule/archive/2302/12/23" TargetMode="External"/><Relationship Id="rId85" Type="http://schemas.openxmlformats.org/officeDocument/2006/relationships/hyperlink" Target="https://www.ned.org/wp-content/uploads/2025/04/Asia-Grant-Listing-FY24.pdf" TargetMode="External"/><Relationship Id="rId150" Type="http://schemas.openxmlformats.org/officeDocument/2006/relationships/hyperlink" Target="https://www.qab.co.jp/news/20230119159860.html" TargetMode="External"/><Relationship Id="rId192" Type="http://schemas.openxmlformats.org/officeDocument/2006/relationships/hyperlink" Target="https://www.pref.okinawa.jp/kititaisaku/DP-08-13.pdf" TargetMode="External"/><Relationship Id="rId206" Type="http://schemas.openxmlformats.org/officeDocument/2006/relationships/hyperlink" Target="https://www.gender.go.jp/research/kenkyu/suishinjokyo/2024/pdf/rep/10.pdf" TargetMode="External"/><Relationship Id="rId248" Type="http://schemas.openxmlformats.org/officeDocument/2006/relationships/hyperlink" Target="https://www.pref.okinawa.jp/_res/projects/default_project/_page_/001/004/927/h26nenpou.pdf" TargetMode="External"/><Relationship Id="rId12" Type="http://schemas.openxmlformats.org/officeDocument/2006/relationships/hyperlink" Target="https://www.mod.go.jp/gsdf/station/wa/yonaguni/" TargetMode="External"/><Relationship Id="rId33" Type="http://schemas.openxmlformats.org/officeDocument/2006/relationships/hyperlink" Target="book_reference" TargetMode="External"/><Relationship Id="rId108" Type="http://schemas.openxmlformats.org/officeDocument/2006/relationships/hyperlink" Target="https://www.rengo-okinawa.jp/cat-news/post-2485/" TargetMode="External"/><Relationship Id="rId129" Type="http://schemas.openxmlformats.org/officeDocument/2006/relationships/hyperlink" Target="https://cdn.ca9.uscourts.gov/datastore/opinions/2020/05/06/18-16836.pdf" TargetMode="External"/><Relationship Id="rId280" Type="http://schemas.openxmlformats.org/officeDocument/2006/relationships/hyperlink" Target="https://www.shinfujin.gr.jp/about/organization" TargetMode="External"/><Relationship Id="rId54" Type="http://schemas.openxmlformats.org/officeDocument/2006/relationships/hyperlink" Target="https://projects.propublica.org/nonprofits/organizations/980346507" TargetMode="External"/><Relationship Id="rId75" Type="http://schemas.openxmlformats.org/officeDocument/2006/relationships/hyperlink" Target="https://www.kadenaofficersspousesclub.com/charity" TargetMode="External"/><Relationship Id="rId96" Type="http://schemas.openxmlformats.org/officeDocument/2006/relationships/hyperlink" Target="https://www.mofa.go.jp/mofaj/gaiko/oda/about/shimin/pagew_000001_00002.html" TargetMode="External"/><Relationship Id="rId140" Type="http://schemas.openxmlformats.org/officeDocument/2006/relationships/hyperlink" Target="https://www.courts.go.jp/assets/hanrei/hanrei-pdf-37115.pdf" TargetMode="External"/><Relationship Id="rId161" Type="http://schemas.openxmlformats.org/officeDocument/2006/relationships/hyperlink" Target="https://www.call4.jp/search.php?items_id=I0000141&amp;items_id_PAL%5B%5D=match+comp&amp;run=true&amp;type=action" TargetMode="External"/><Relationship Id="rId182" Type="http://schemas.openxmlformats.org/officeDocument/2006/relationships/hyperlink" Target="https://www.otv.co.jp/okitive/news/post/00012171/index.html" TargetMode="External"/><Relationship Id="rId217" Type="http://schemas.openxmlformats.org/officeDocument/2006/relationships/hyperlink" Target="https://www.npo-homepage.go.jp/npoportal/document/047024571/hokoku/2021700/2021%E5%B9%B4%E5%BA%A6%E4%BA%8B%E6%A5%AD%E5%A0%B1%E5%91%8A%E6%9B%B8%E7%AD%89.pdf" TargetMode="External"/><Relationship Id="rId6" Type="http://schemas.openxmlformats.org/officeDocument/2006/relationships/hyperlink" Target="https://okinawaejp.blogspot.com/2020/07/" TargetMode="External"/><Relationship Id="rId238" Type="http://schemas.openxmlformats.org/officeDocument/2006/relationships/hyperlink" Target="https://www.miyakomainichi.com/news/post-81162/" TargetMode="External"/><Relationship Id="rId259" Type="http://schemas.openxmlformats.org/officeDocument/2006/relationships/hyperlink" Target="https://www.jstage.jst.go.jp/article/isvsjapan/19/0/19_45/_pdf/-char/en" TargetMode="External"/><Relationship Id="rId23" Type="http://schemas.openxmlformats.org/officeDocument/2006/relationships/hyperlink" Target="https://www.qab.co.jp/news/20220321148994.html" TargetMode="External"/><Relationship Id="rId119" Type="http://schemas.openxmlformats.org/officeDocument/2006/relationships/hyperlink" Target="https://ryukyushimpo.jp/news/entry-1623776.html" TargetMode="External"/><Relationship Id="rId270" Type="http://schemas.openxmlformats.org/officeDocument/2006/relationships/hyperlink" Target="https://miyakojima-tikasui.com/report_activity/2021-10-08-04.pdf" TargetMode="External"/><Relationship Id="rId291" Type="http://schemas.openxmlformats.org/officeDocument/2006/relationships/hyperlink" Target="https://ryukyushimpo.jp/news/entry-209354.html" TargetMode="External"/><Relationship Id="rId44" Type="http://schemas.openxmlformats.org/officeDocument/2006/relationships/hyperlink" Target="book_reference" TargetMode="External"/><Relationship Id="rId65" Type="http://schemas.openxmlformats.org/officeDocument/2006/relationships/hyperlink" Target="http://ngo-nowar.org/" TargetMode="External"/><Relationship Id="rId86" Type="http://schemas.openxmlformats.org/officeDocument/2006/relationships/hyperlink" Target="https://www.ned.org/2024-grant-listings/" TargetMode="External"/><Relationship Id="rId130" Type="http://schemas.openxmlformats.org/officeDocument/2006/relationships/hyperlink" Target="https://www.mod.go.jp/rdb/okinawa/effort/base/evaluation/hyoukayouyaku.html" TargetMode="External"/><Relationship Id="rId151" Type="http://schemas.openxmlformats.org/officeDocument/2006/relationships/hyperlink" Target="https://kadena-bakuon.jp/" TargetMode="External"/><Relationship Id="rId172" Type="http://schemas.openxmlformats.org/officeDocument/2006/relationships/hyperlink" Target="https://www.city.nago.okinawa.jp/kurashi/2018071901216/file_contents/19971221simintouhyou.xls" TargetMode="External"/><Relationship Id="rId193" Type="http://schemas.openxmlformats.org/officeDocument/2006/relationships/hyperlink" Target="https://www.pref.okinawa.lg.jp/bosaianzen/kokuminhogo/1023175/1026163/1032696/1032939.html" TargetMode="External"/><Relationship Id="rId207" Type="http://schemas.openxmlformats.org/officeDocument/2006/relationships/hyperlink" Target="https://www.pref.okinawa.jp/kurashikankyo/danjo/1021609/1027355/1027407/1027458.html" TargetMode="External"/><Relationship Id="rId228" Type="http://schemas.openxmlformats.org/officeDocument/2006/relationships/hyperlink" Target="https://seaturtles.org/wp-content/uploads/2025/01/TIRN-6.30.2024-Public-Disclosure-Copy-2.pdf" TargetMode="External"/><Relationship Id="rId249" Type="http://schemas.openxmlformats.org/officeDocument/2006/relationships/hyperlink" Target="https://www.ywca.or.jp/pdf/2014/0716.pdf" TargetMode="External"/><Relationship Id="rId13" Type="http://schemas.openxmlformats.org/officeDocument/2006/relationships/hyperlink" Target="https://www.mod.go.jp/j/press/wp/wp2022/html/nc014000.html" TargetMode="External"/><Relationship Id="rId109" Type="http://schemas.openxmlformats.org/officeDocument/2006/relationships/hyperlink" Target="https://okinawakenroren.org/kenrorenshokai.html" TargetMode="External"/><Relationship Id="rId260" Type="http://schemas.openxmlformats.org/officeDocument/2006/relationships/hyperlink" Target="https://www.shinfujin.gr.jp/wp-content/uploads/2018/11/20181003_seimei_okinawatidisen.pdf" TargetMode="External"/><Relationship Id="rId281" Type="http://schemas.openxmlformats.org/officeDocument/2006/relationships/hyperlink" Target="https://www.shinfujin.gr.jp/wp-content/uploads/2024/06/%E7%B1%B3%E5%85%B5%E5%B0%91%E5%A5%B3%E6%9A%B4%E8%A1%8C%E4%BA%8B%E4%BB%B6%E3%80%80%E5%86%85%E9%96%A3%E7%B7%8F%E7%90%86%E5%A4%A7%E8%87%A3%E5%B2%B8%E7%94%B0%E6%96%87%E9%9B%84%E6%A7%981.pdf" TargetMode="External"/><Relationship Id="rId34" Type="http://schemas.openxmlformats.org/officeDocument/2006/relationships/hyperlink" Target="https://www.okinawaiken.org/" TargetMode="External"/><Relationship Id="rId55" Type="http://schemas.openxmlformats.org/officeDocument/2006/relationships/hyperlink" Target="https://nosco.wildapricot.org/awwa" TargetMode="External"/><Relationship Id="rId76" Type="http://schemas.openxmlformats.org/officeDocument/2006/relationships/hyperlink" Target="https://projects.propublica.org/nonprofits/organizations/980214323" TargetMode="External"/><Relationship Id="rId97" Type="http://schemas.openxmlformats.org/officeDocument/2006/relationships/hyperlink" Target="https://okinawa.uso.org/sponsors" TargetMode="External"/><Relationship Id="rId120" Type="http://schemas.openxmlformats.org/officeDocument/2006/relationships/hyperlink" Target="https://ryukyukohp.jimdofree.com/" TargetMode="External"/><Relationship Id="rId141" Type="http://schemas.openxmlformats.org/officeDocument/2006/relationships/hyperlink" Target="https://www.courts.go.jp/naha/vc-files/naha/2024/chisai/minji/tokubetuhozon/H29kanketubunitiranhyou.pdf" TargetMode="External"/><Relationship Id="rId7" Type="http://schemas.openxmlformats.org/officeDocument/2006/relationships/hyperlink" Target="https://apjjf.org/2020/16/yoshikawaoejp" TargetMode="External"/><Relationship Id="rId162" Type="http://schemas.openxmlformats.org/officeDocument/2006/relationships/hyperlink" Target="https://www.city.ishigaki.okinawa.jp/material/files/group/33/iinkai2024-1.pdf" TargetMode="External"/><Relationship Id="rId183" Type="http://schemas.openxmlformats.org/officeDocument/2006/relationships/hyperlink" Target="https://www.pref.okinawa.jp/_res/projects/default_project/_page_/001/004/917/2r6kekka.pdf" TargetMode="External"/><Relationship Id="rId218" Type="http://schemas.openxmlformats.org/officeDocument/2006/relationships/hyperlink" Target="https://www.npo-homepage.go.jp/npoportal/gyosei-print/047023569" TargetMode="External"/><Relationship Id="rId239" Type="http://schemas.openxmlformats.org/officeDocument/2006/relationships/hyperlink" Target="https://www.city.miyakojima.lg.jp/gyosei/gikai/files/h27.6.dai4kaikaigiroku.pdf" TargetMode="External"/><Relationship Id="rId250" Type="http://schemas.openxmlformats.org/officeDocument/2006/relationships/hyperlink" Target="https://www.qab.co.jp/news/2014082157456.html" TargetMode="External"/><Relationship Id="rId271" Type="http://schemas.openxmlformats.org/officeDocument/2006/relationships/hyperlink" Target="https://www.city.miyakojima.lg.jp/kurashi/seikatsu/kankyohozen/files/tikasui.pdf" TargetMode="External"/><Relationship Id="rId292" Type="http://schemas.openxmlformats.org/officeDocument/2006/relationships/hyperlink" Target="https://www.kinyobi.co.jp/kinyobinews/2017/01/25/%E9%99%B8%E8%87%AA%E9%85%8D%E5%82%99%E3%81%A7%E3%80%8C%E5%8F%97%E3%81%91%E5%85%A5%E3%82%8C%E3%80%8D%E8%A1%A8%E6%98%8E%E2%80%95%E2%80%95%E4%BD%8F%E6%B0%91%E8%A3%8F%E5%88%87%E3%82%8A%E3%81%AE%E7%9F%B3" TargetMode="External"/><Relationship Id="rId24" Type="http://schemas.openxmlformats.org/officeDocument/2006/relationships/hyperlink" Target="https://okinawataiwa.net/" TargetMode="External"/><Relationship Id="rId45" Type="http://schemas.openxmlformats.org/officeDocument/2006/relationships/hyperlink" Target="https://www.okinawatimes.co.jp/articles/-/359236" TargetMode="External"/><Relationship Id="rId66" Type="http://schemas.openxmlformats.org/officeDocument/2006/relationships/hyperlink" Target="https://ngo-ayus.jp/activity/situation_support/ngonowarnet2015/" TargetMode="External"/><Relationship Id="rId87" Type="http://schemas.openxmlformats.org/officeDocument/2006/relationships/hyperlink" Target="https://global-en.peace-winds.org/news/1790" TargetMode="External"/><Relationship Id="rId110" Type="http://schemas.openxmlformats.org/officeDocument/2006/relationships/hyperlink" Target="https://www.jichiro.okinawa/" TargetMode="External"/><Relationship Id="rId131" Type="http://schemas.openxmlformats.org/officeDocument/2006/relationships/hyperlink" Target="https://www.nacsj.or.jp/statement/50946/" TargetMode="External"/><Relationship Id="rId152" Type="http://schemas.openxmlformats.org/officeDocument/2006/relationships/hyperlink" Target="https://ameblo.jp/hibikilaw-staff/entry-12727218527.html" TargetMode="External"/><Relationship Id="rId173" Type="http://schemas.openxmlformats.org/officeDocument/2006/relationships/hyperlink" Target="https://www.city.okinawa.okinawa.jp/documents/1858/1kanryou.pdf" TargetMode="External"/><Relationship Id="rId194" Type="http://schemas.openxmlformats.org/officeDocument/2006/relationships/hyperlink" Target="https://www.qab.co.jp/news/20241007226830.html" TargetMode="External"/><Relationship Id="rId208" Type="http://schemas.openxmlformats.org/officeDocument/2006/relationships/hyperlink" Target="https://www.okinawajosei.org/support.php" TargetMode="External"/><Relationship Id="rId229" Type="http://schemas.openxmlformats.org/officeDocument/2006/relationships/hyperlink" Target="https://seaturtles.org/wp-content/uploads/2019/01/19-01-02-OPENING-BRIEF.pdf" TargetMode="External"/><Relationship Id="rId240" Type="http://schemas.openxmlformats.org/officeDocument/2006/relationships/hyperlink" Target="https://www.miyakomainichi.com/2011/06/20401/" TargetMode="External"/><Relationship Id="rId261" Type="http://schemas.openxmlformats.org/officeDocument/2006/relationships/hyperlink" Target="https://www.pref.okinawa.jp/kensei/senkyo/1005009/1023802/1025046/index.html" TargetMode="External"/><Relationship Id="rId14" Type="http://schemas.openxmlformats.org/officeDocument/2006/relationships/hyperlink" Target="https://www.town.yonaguni.okinawa.jp/docs/2023102400019/file_contents/tyoukieinou.pdf" TargetMode="External"/><Relationship Id="rId35" Type="http://schemas.openxmlformats.org/officeDocument/2006/relationships/hyperlink" Target="https://www.npo-homepage.go.jp/" TargetMode="External"/><Relationship Id="rId56" Type="http://schemas.openxmlformats.org/officeDocument/2006/relationships/hyperlink" Target="https://jp.usembassy.gov/wp-content/uploads/sites/7/2024/05/nofo-2024-naha-pas-02-okinawa-youth-council-e.pdf" TargetMode="External"/><Relationship Id="rId77" Type="http://schemas.openxmlformats.org/officeDocument/2006/relationships/hyperlink" Target="https://okinawa.uso.org/stories/81" TargetMode="External"/><Relationship Id="rId100" Type="http://schemas.openxmlformats.org/officeDocument/2006/relationships/hyperlink" Target="https://www.jica.go.jp/domestic/kyushu/activities/kaihatsu/__icsFiles/afieldfile/2025/03/27/report_2019.pdf" TargetMode="External"/><Relationship Id="rId282" Type="http://schemas.openxmlformats.org/officeDocument/2006/relationships/hyperlink" Target="https://www.pref.okinawa.lg.jp/_res/projects/default_project/_page_/001/014/905/h20gyouseikiroku.pdf" TargetMode="External"/><Relationship Id="rId8" Type="http://schemas.openxmlformats.org/officeDocument/2006/relationships/hyperlink" Target="https://ryukyushimpo.jp/news/entry-1154960.html" TargetMode="External"/><Relationship Id="rId98" Type="http://schemas.openxmlformats.org/officeDocument/2006/relationships/hyperlink" Target="https://okinawa.stripes.com/community-news/american-engineering-corporation-uso-okinawa.html" TargetMode="External"/><Relationship Id="rId121" Type="http://schemas.openxmlformats.org/officeDocument/2006/relationships/hyperlink" Target="https://www.kogai-net.com/" TargetMode="External"/><Relationship Id="rId142" Type="http://schemas.openxmlformats.org/officeDocument/2006/relationships/hyperlink" Target="https://www.jelf-justice.org/?p=1114" TargetMode="External"/><Relationship Id="rId163" Type="http://schemas.openxmlformats.org/officeDocument/2006/relationships/hyperlink" Target="https://www.city.ishigaki.okinawa.jp/material/files/group/33/r3-6-28gijinittei.pdf" TargetMode="External"/><Relationship Id="rId184" Type="http://schemas.openxmlformats.org/officeDocument/2006/relationships/hyperlink" Target="https://www.pref.okinawa.jp/_res/projects/default_project/_page_/001/015/127/koushitsu1.pdf" TargetMode="External"/><Relationship Id="rId219" Type="http://schemas.openxmlformats.org/officeDocument/2006/relationships/hyperlink" Target="https://miyako-island.net/activity/npo%E6%B3%95%E4%BA%BA%E5%AE%AE%E5%8F%A4%E5%B3%B6%E8%87%AA%E7%84%B6%E7%B7%91%E5%8C%96%E5%8D%94%E4%BC%9A/" TargetMode="External"/><Relationship Id="rId230" Type="http://schemas.openxmlformats.org/officeDocument/2006/relationships/hyperlink" Target="https://www.ishiji.org/about" TargetMode="External"/><Relationship Id="rId251" Type="http://schemas.openxmlformats.org/officeDocument/2006/relationships/hyperlink" Target="https://www.jcp.or.jp/akahata/aik14/2014-08-22/2014082204_01_1.html" TargetMode="External"/><Relationship Id="rId25" Type="http://schemas.openxmlformats.org/officeDocument/2006/relationships/hyperlink" Target="https://www.city.nago.okinawa.jp/kurashi/2019020300029/" TargetMode="External"/><Relationship Id="rId46" Type="http://schemas.openxmlformats.org/officeDocument/2006/relationships/hyperlink" Target="https://www.nacsj.or.jp/archives/files/katsudo/henoko/pdf/20140724youbou_boueidaijin.pdf" TargetMode="External"/><Relationship Id="rId67" Type="http://schemas.openxmlformats.org/officeDocument/2006/relationships/hyperlink" Target="https://www.ngo-jvc.net/news/news/20230606_osaseimei.html" TargetMode="External"/><Relationship Id="rId272" Type="http://schemas.openxmlformats.org/officeDocument/2006/relationships/hyperlink" Target="https://ryukyushimpo.jp/news/entry-1254033.html" TargetMode="External"/><Relationship Id="rId293" Type="http://schemas.openxmlformats.org/officeDocument/2006/relationships/hyperlink" Target="https://iwj.co.jp/wj/open/archives/374937" TargetMode="External"/><Relationship Id="rId88" Type="http://schemas.openxmlformats.org/officeDocument/2006/relationships/hyperlink" Target="https://peacewindsamerica.org/relief_recovery/disaster-relief-japan/" TargetMode="External"/><Relationship Id="rId111" Type="http://schemas.openxmlformats.org/officeDocument/2006/relationships/hyperlink" Target="https://www.okifuren.com/" TargetMode="External"/><Relationship Id="rId132" Type="http://schemas.openxmlformats.org/officeDocument/2006/relationships/hyperlink" Target="https://www.nacsj.or.jp/statement/51098/" TargetMode="External"/><Relationship Id="rId153" Type="http://schemas.openxmlformats.org/officeDocument/2006/relationships/hyperlink" Target="https://blog.livedoor.jp/henoko_osaka/" TargetMode="External"/><Relationship Id="rId174" Type="http://schemas.openxmlformats.org/officeDocument/2006/relationships/hyperlink" Target="https://www.city.okinawa.okinawa.jp/documents/1858/2kannryou.pdf" TargetMode="External"/><Relationship Id="rId195" Type="http://schemas.openxmlformats.org/officeDocument/2006/relationships/hyperlink" Target="https://www.town.yonaguni.okinawa.jp/docs/2018041100076/file_contents/H27siseihousin.pdf" TargetMode="External"/><Relationship Id="rId209" Type="http://schemas.openxmlformats.org/officeDocument/2006/relationships/hyperlink" Target="https://www.pref.okinawa.jp/heiwakichi/kichi/1017255/1017256/1017262.html" TargetMode="External"/><Relationship Id="rId220" Type="http://schemas.openxmlformats.org/officeDocument/2006/relationships/hyperlink" Target="https://info.gbiz.go.jp/hojin/ichiran?hojinBango=2360005003935" TargetMode="External"/><Relationship Id="rId241" Type="http://schemas.openxmlformats.org/officeDocument/2006/relationships/hyperlink" Target="https://www.npo-mec.net/services" TargetMode="External"/><Relationship Id="rId15" Type="http://schemas.openxmlformats.org/officeDocument/2006/relationships/hyperlink" Target="https://www.jcp.or.jp/akahata/aik12/2012-08-31/2012083115_02_1.html" TargetMode="External"/><Relationship Id="rId36" Type="http://schemas.openxmlformats.org/officeDocument/2006/relationships/hyperlink" Target="https://ryukyushimpo.jp/news/entry-452562.html" TargetMode="External"/><Relationship Id="rId57" Type="http://schemas.openxmlformats.org/officeDocument/2006/relationships/hyperlink" Target="http://www.sdcc.jp/" TargetMode="External"/><Relationship Id="rId262" Type="http://schemas.openxmlformats.org/officeDocument/2006/relationships/hyperlink" Target="https://ryukyushimpo.jp/news/entry-1499534.html" TargetMode="External"/><Relationship Id="rId283" Type="http://schemas.openxmlformats.org/officeDocument/2006/relationships/hyperlink" Target="https://www.jcp.or.jp/akahata/aik18/2018-06-18/2018061801_03_1.html" TargetMode="External"/><Relationship Id="rId78" Type="http://schemas.openxmlformats.org/officeDocument/2006/relationships/hyperlink" Target="https://english.ryukyushimpo.jp/2012/05/09/6954/" TargetMode="External"/><Relationship Id="rId99" Type="http://schemas.openxmlformats.org/officeDocument/2006/relationships/hyperlink" Target="https://www.npo-homepage.go.jp/npoportal/document/047021403/hokoku/2024700/2024%E5%B9%B4%E5%BA%A6%E4%BA%8B%E6%A5%AD%E5%A0%B1%E5%91%8A%E6%9B%B8%E7%AD%89.pdf" TargetMode="External"/><Relationship Id="rId101" Type="http://schemas.openxmlformats.org/officeDocument/2006/relationships/hyperlink" Target="https://www.mofa.go.jp/mofaj/gaiko/oda/about/shimin/pagew_000001_00006.html" TargetMode="External"/><Relationship Id="rId122" Type="http://schemas.openxmlformats.org/officeDocument/2006/relationships/hyperlink" Target="https://bakuon.org/yonjitop/zenkoku.html" TargetMode="External"/><Relationship Id="rId143" Type="http://schemas.openxmlformats.org/officeDocument/2006/relationships/hyperlink" Target="https://www.pref.okinawa.jp/_res/projects/default_project/_page_/001/016/473/syoumu_nenpou_h19.pdf" TargetMode="External"/><Relationship Id="rId164" Type="http://schemas.openxmlformats.org/officeDocument/2006/relationships/hyperlink" Target="https://www.city.ishigaki.okinawa.jp/material/files/group/9/r71zitikihon_siryou1-3.pdf" TargetMode="External"/><Relationship Id="rId185" Type="http://schemas.openxmlformats.org/officeDocument/2006/relationships/hyperlink" Target="https://www.pref.okinawa.jp/_res/projects/default_project/_page_/001/021/212/h301002gun-1.pdf" TargetMode="External"/><Relationship Id="rId9" Type="http://schemas.openxmlformats.org/officeDocument/2006/relationships/hyperlink" Target="https://earthjustice.org/article/fighting-to-protect-the-dugongs-of-japan-s-henoko-bay" TargetMode="External"/><Relationship Id="rId210" Type="http://schemas.openxmlformats.org/officeDocument/2006/relationships/hyperlink" Target="https://www.miyakomainichi.com/news/post-79534/" TargetMode="External"/><Relationship Id="rId26" Type="http://schemas.openxmlformats.org/officeDocument/2006/relationships/hyperlink" Target="https://www.qab.co.jp/news/2017022388152.html" TargetMode="External"/><Relationship Id="rId231" Type="http://schemas.openxmlformats.org/officeDocument/2006/relationships/hyperlink" Target="https://www.jica.go.jp/domestic/okinawa/activities/kaihatsu/festival/2022/organization_02/08.html" TargetMode="External"/><Relationship Id="rId252" Type="http://schemas.openxmlformats.org/officeDocument/2006/relationships/hyperlink" Target="https://www.jcp.or.jp/akahata/aik14/2014-10-11/2014101104_01_1.html" TargetMode="External"/><Relationship Id="rId273" Type="http://schemas.openxmlformats.org/officeDocument/2006/relationships/hyperlink" Target="https://www.city.ginowan.lg.jp/material/files/group/61/hukusi_202212.pdf" TargetMode="External"/><Relationship Id="rId294" Type="http://schemas.openxmlformats.org/officeDocument/2006/relationships/hyperlink" Target="https://researchmap.jp/teppy/presentations/10378736/attachment_file.pdf" TargetMode="External"/><Relationship Id="rId47" Type="http://schemas.openxmlformats.org/officeDocument/2006/relationships/hyperlink" Target="https://www.mod.go.jp/rdb/okinawa/effort/base/evaluation/hyoukasyo.html" TargetMode="External"/><Relationship Id="rId68" Type="http://schemas.openxmlformats.org/officeDocument/2006/relationships/hyperlink" Target="https://www.okinawatimes.co.jp/articles/-/1448767" TargetMode="External"/><Relationship Id="rId89" Type="http://schemas.openxmlformats.org/officeDocument/2006/relationships/hyperlink" Target="https://propublic.org/" TargetMode="External"/><Relationship Id="rId112" Type="http://schemas.openxmlformats.org/officeDocument/2006/relationships/hyperlink" Target="https://www.pref.okinawa.lg.jp/_res/projects/default_project/_page_/001/017/050/inkaihou.compressed.pdf" TargetMode="External"/><Relationship Id="rId133" Type="http://schemas.openxmlformats.org/officeDocument/2006/relationships/hyperlink" Target="https://www.courts.go.jp/assets/hanrei/hanrei-pdf-88988.pdf" TargetMode="External"/><Relationship Id="rId154" Type="http://schemas.openxmlformats.org/officeDocument/2006/relationships/hyperlink" Target="https://iwj.co.jp/wj/open/archives/146582" TargetMode="External"/><Relationship Id="rId175" Type="http://schemas.openxmlformats.org/officeDocument/2006/relationships/hyperlink" Target="https://www.city.okinawa.okinawa.jp/documents/1858/r0607okinawashi.pdf" TargetMode="External"/><Relationship Id="rId196" Type="http://schemas.openxmlformats.org/officeDocument/2006/relationships/hyperlink" Target="https://www.town.yonaguni.okinawa.jp/docs/2018041100144/hogokeikaku.html" TargetMode="External"/><Relationship Id="rId200" Type="http://schemas.openxmlformats.org/officeDocument/2006/relationships/hyperlink" Target="https://www.okinawatimes.co.jp/articles/-/1474162" TargetMode="External"/><Relationship Id="rId16" Type="http://schemas.openxmlformats.org/officeDocument/2006/relationships/hyperlink" Target="https://ryukyushimpo.jp/news/entry-385092.html" TargetMode="External"/><Relationship Id="rId221" Type="http://schemas.openxmlformats.org/officeDocument/2006/relationships/hyperlink" Target="https://www.kagisuma.jp/" TargetMode="External"/><Relationship Id="rId242" Type="http://schemas.openxmlformats.org/officeDocument/2006/relationships/hyperlink" Target="https://econet.jpn.org/outline" TargetMode="External"/><Relationship Id="rId263" Type="http://schemas.openxmlformats.org/officeDocument/2006/relationships/hyperlink" Target="https://www.min-iren.gr.jp/news-press/shinbun/20220816_46093.html" TargetMode="External"/><Relationship Id="rId284" Type="http://schemas.openxmlformats.org/officeDocument/2006/relationships/hyperlink" Target="https://www.mhlw.go.jp/churoi/meirei_db/mei/pdf/m11367.pdf" TargetMode="External"/><Relationship Id="rId37" Type="http://schemas.openxmlformats.org/officeDocument/2006/relationships/hyperlink" Target="https://okiben.org/column/10903/" TargetMode="External"/><Relationship Id="rId58" Type="http://schemas.openxmlformats.org/officeDocument/2006/relationships/hyperlink" Target="https://iucn.org/our-union/members/iucn-members/save-dugong-campaign-center" TargetMode="External"/><Relationship Id="rId79" Type="http://schemas.openxmlformats.org/officeDocument/2006/relationships/hyperlink" Target="https://www.moscoki.com/" TargetMode="External"/><Relationship Id="rId102" Type="http://schemas.openxmlformats.org/officeDocument/2006/relationships/hyperlink" Target="https://www.dvidshub.net/news/546868/us-navy-sailors-help-okinawan-childcare-center-beat-heat" TargetMode="External"/><Relationship Id="rId123" Type="http://schemas.openxmlformats.org/officeDocument/2006/relationships/hyperlink" Target="https://bakuon.org/2026/06/22/2026-06-18%E3%80%80%E5%85%A8%E5%9B%BD%E5%9F%BA%E5%9C%B0%E7%88%86%E9%9F%B3%E8%A8%B4%E8%A8%9F%E5%8E%9F%E5%91%8A%E5%9B%A3%E9%80%A3%E7%B5%A1%E4%BC%9A%E3%81%8C%E5%9B%BD%E4%BC%9A%E4%BA%A4%E6%B8%89/" TargetMode="External"/><Relationship Id="rId144" Type="http://schemas.openxmlformats.org/officeDocument/2006/relationships/hyperlink" Target="https://www.ywca.or.jp/kaze/0214news-2/" TargetMode="External"/><Relationship Id="rId90" Type="http://schemas.openxmlformats.org/officeDocument/2006/relationships/hyperlink" Target="https://www.foei.org/member-groups/nepal/" TargetMode="External"/><Relationship Id="rId165" Type="http://schemas.openxmlformats.org/officeDocument/2006/relationships/hyperlink" Target="https://www.city.ishigaki.okinawa.jp/soshiki/1/kokuminhogokankei/10812.html" TargetMode="External"/><Relationship Id="rId186" Type="http://schemas.openxmlformats.org/officeDocument/2006/relationships/hyperlink" Target="https://www.pref.okinawa.jp/_res/projects/default_project/_page_/001/034/046/3gaiyo.pdf" TargetMode="External"/><Relationship Id="rId211" Type="http://schemas.openxmlformats.org/officeDocument/2006/relationships/hyperlink" Target="https://www.min-iren.gr.jp/news-press/genki/20180731_35632.html" TargetMode="External"/><Relationship Id="rId232" Type="http://schemas.openxmlformats.org/officeDocument/2006/relationships/hyperlink" Target="https://www.jica.go.jp/domestic/okinawa/information/topics/2023/1525168_14644.html" TargetMode="External"/><Relationship Id="rId253" Type="http://schemas.openxmlformats.org/officeDocument/2006/relationships/hyperlink" Target="https://www.magazine9.jp/article/yuntacrew/18975" TargetMode="External"/><Relationship Id="rId274" Type="http://schemas.openxmlformats.org/officeDocument/2006/relationships/hyperlink" Target="https://www.city.ginowan.lg.jp/material/files/group/61/ikensyo1.pdf" TargetMode="External"/><Relationship Id="rId295" Type="http://schemas.openxmlformats.org/officeDocument/2006/relationships/hyperlink" Target="https://www.earth-garden.jp/study/51190/" TargetMode="External"/><Relationship Id="rId27" Type="http://schemas.openxmlformats.org/officeDocument/2006/relationships/hyperlink" Target="https://www.qab.co.jp/news/2016111785307.html" TargetMode="External"/><Relationship Id="rId48" Type="http://schemas.openxmlformats.org/officeDocument/2006/relationships/hyperlink" Target="https://www.veteransforpeace.org/who-we-are/2025-online-business-meeting/resolution-2025-1-us-military-expansion-and-environmental-destruction-okinawa" TargetMode="External"/><Relationship Id="rId69" Type="http://schemas.openxmlformats.org/officeDocument/2006/relationships/hyperlink" Target="http://www.kinyobi.co.jp/kinyobinews/2015/03/11/" TargetMode="External"/><Relationship Id="rId113" Type="http://schemas.openxmlformats.org/officeDocument/2006/relationships/hyperlink" Target="https://www.miyakomainichi.com/news/post-82976/" TargetMode="External"/><Relationship Id="rId134" Type="http://schemas.openxmlformats.org/officeDocument/2006/relationships/hyperlink" Target="https://ndlsearch.ndl.go.jp/books/R100000002-I032624657" TargetMode="External"/><Relationship Id="rId80" Type="http://schemas.openxmlformats.org/officeDocument/2006/relationships/hyperlink" Target="https://projects.propublica.org/nonprofits/organizations/460598583" TargetMode="External"/><Relationship Id="rId155" Type="http://schemas.openxmlformats.org/officeDocument/2006/relationships/hyperlink" Target="https://kadena-bakuon.jp/trial/history/" TargetMode="External"/><Relationship Id="rId176" Type="http://schemas.openxmlformats.org/officeDocument/2006/relationships/hyperlink" Target="https://www.city.okinawa.okinawa.jp/k034/sportsbunka/bunkarekishi/bunkageijutsu/3938939394.html" TargetMode="External"/><Relationship Id="rId197" Type="http://schemas.openxmlformats.org/officeDocument/2006/relationships/hyperlink" Target="https://www2.pref.okinawa.jp/oki/Gikairep1.nsf/GoZentai/20180702000000" TargetMode="External"/><Relationship Id="rId201" Type="http://schemas.openxmlformats.org/officeDocument/2006/relationships/hyperlink" Target="https://ryukyushimpo.jp/national/entry-3299439.html" TargetMode="External"/><Relationship Id="rId222" Type="http://schemas.openxmlformats.org/officeDocument/2006/relationships/hyperlink" Target="https://www.pref.okinawa.jp/_res/projects/default_project/_page_/001/004/633/sangohosaisoukatsu5.pdf" TargetMode="External"/><Relationship Id="rId243" Type="http://schemas.openxmlformats.org/officeDocument/2006/relationships/hyperlink" Target="https://darkwater.okinawa/pfas%E8%A1%80%E4%B8%AD%E6%BF%83%E5%BA%A6%E8%AA%BF%E6%9F%BB%E3%81%B8%E3%80%80%E5%B8%82%E6%B0%91%E9%80%A3%E7%B5%A1%E4%BC%9A%E3%81%8C%E6%8B%A1%E5%A4%A7%E5%B9%B9%E4%BA%8B%E4%BC%9A%EF%BC%885%E6%9C%8825/" TargetMode="External"/><Relationship Id="rId264" Type="http://schemas.openxmlformats.org/officeDocument/2006/relationships/hyperlink" Target="https://all-okinawa.jp/2005" TargetMode="External"/><Relationship Id="rId285" Type="http://schemas.openxmlformats.org/officeDocument/2006/relationships/hyperlink" Target="https://www.pref.okinawa.lg.jp/shigoto/koyorodo/1012030/1012056.html" TargetMode="External"/><Relationship Id="rId17" Type="http://schemas.openxmlformats.org/officeDocument/2006/relationships/hyperlink" Target="https://ryukyushimpo.jp/news/entry-1176922.html" TargetMode="External"/><Relationship Id="rId38" Type="http://schemas.openxmlformats.org/officeDocument/2006/relationships/hyperlink" Target="https://www.jca.apc.org/HHK/" TargetMode="External"/><Relationship Id="rId59" Type="http://schemas.openxmlformats.org/officeDocument/2006/relationships/hyperlink" Target="https://www.geoc.jp/rashinban/dantai_detail_591.html" TargetMode="External"/><Relationship Id="rId103" Type="http://schemas.openxmlformats.org/officeDocument/2006/relationships/hyperlink" Target="https://www.npo-homepage.go.jp/npoportal/gyosei-print/047006834" TargetMode="External"/><Relationship Id="rId124" Type="http://schemas.openxmlformats.org/officeDocument/2006/relationships/hyperlink" Target="https://www.kogai-net.com/sokai-document/document38/38-200/38-223/" TargetMode="External"/><Relationship Id="rId70" Type="http://schemas.openxmlformats.org/officeDocument/2006/relationships/hyperlink" Target="https://www.jcp.or.jp/akahata/aik14/2014-11-18/2014111815_03_1.html" TargetMode="External"/><Relationship Id="rId91" Type="http://schemas.openxmlformats.org/officeDocument/2006/relationships/hyperlink" Target="https://iucn.org/our-union/members/iucn-members/pro-natura-friends-earth-switzerland" TargetMode="External"/><Relationship Id="rId145" Type="http://schemas.openxmlformats.org/officeDocument/2006/relationships/hyperlink" Target="https://www.ywca.or.jp/tag/%E6%B2%96%E7%B8%84/" TargetMode="External"/><Relationship Id="rId166" Type="http://schemas.openxmlformats.org/officeDocument/2006/relationships/hyperlink" Target="https://www.city.ishigaki.okinawa.jp/soshiki/gikai/teireikairinnjikai/teisyutugianntokekka/reiwagannnenndo/1310.html" TargetMode="External"/><Relationship Id="rId187" Type="http://schemas.openxmlformats.org/officeDocument/2006/relationships/hyperlink" Target="https://www.pref.okinawa.jp/heiwakichi/futenma/1017409/1017427.html" TargetMode="External"/><Relationship Id="rId1" Type="http://schemas.openxmlformats.org/officeDocument/2006/relationships/hyperlink" Target="https://www.pref.okinawa.jp/kurashikankyo/katsudo/1004889/1004890.html" TargetMode="External"/><Relationship Id="rId212" Type="http://schemas.openxmlformats.org/officeDocument/2006/relationships/hyperlink" Target="https://ryukyushimpo.jp/news/entry-892189.html" TargetMode="External"/><Relationship Id="rId233" Type="http://schemas.openxmlformats.org/officeDocument/2006/relationships/hyperlink" Target="https://www.oki-tu.org/branch" TargetMode="External"/><Relationship Id="rId254" Type="http://schemas.openxmlformats.org/officeDocument/2006/relationships/hyperlink" Target="https://www.shinfujin.gr.jp/2943" TargetMode="External"/><Relationship Id="rId28" Type="http://schemas.openxmlformats.org/officeDocument/2006/relationships/hyperlink" Target="https://ryukyushimpo.jp/news/entry-315940.html" TargetMode="External"/><Relationship Id="rId49" Type="http://schemas.openxmlformats.org/officeDocument/2006/relationships/hyperlink" Target="https://lovehenoko.org/" TargetMode="External"/><Relationship Id="rId114" Type="http://schemas.openxmlformats.org/officeDocument/2006/relationships/hyperlink" Target="https://www.npo-mec.net/" TargetMode="External"/><Relationship Id="rId275" Type="http://schemas.openxmlformats.org/officeDocument/2006/relationships/hyperlink" Target="https://www.asahi.com/articles/ASQ9S5J0LQ96TPOB004.html" TargetMode="External"/><Relationship Id="rId296" Type="http://schemas.openxmlformats.org/officeDocument/2006/relationships/table" Target="../tables/table10.xml"/><Relationship Id="rId60" Type="http://schemas.openxmlformats.org/officeDocument/2006/relationships/hyperlink" Target="https://earthjustice.org/press/2003/us-japanese-conservation-groups-join-in-legal-effort-to-save-okinawa-dugong-from-extinction" TargetMode="External"/><Relationship Id="rId81" Type="http://schemas.openxmlformats.org/officeDocument/2006/relationships/hyperlink" Target="https://okinawahai.com/army-on-okinawa-gift-shop/" TargetMode="External"/><Relationship Id="rId135" Type="http://schemas.openxmlformats.org/officeDocument/2006/relationships/hyperlink" Target="https://www.courts.go.jp/assets/hanrei/hanrei-pdf-91354.pdf" TargetMode="External"/><Relationship Id="rId156" Type="http://schemas.openxmlformats.org/officeDocument/2006/relationships/hyperlink" Target="https://futenma-bakuon.jp/" TargetMode="External"/><Relationship Id="rId177" Type="http://schemas.openxmlformats.org/officeDocument/2006/relationships/hyperlink" Target="https://www.courts.go.jp/fukuoka-h/vc-files/fukuoka-h/reiwa7.pdf" TargetMode="External"/><Relationship Id="rId198" Type="http://schemas.openxmlformats.org/officeDocument/2006/relationships/hyperlink" Target="https://www2.pref.okinawa.jp/oki/Gikairep1.nsf/bf76642d1ed57158492581ed00348311/6cc4b1801bbb16124925861e00087c7a?OpenDocument" TargetMode="External"/><Relationship Id="rId202" Type="http://schemas.openxmlformats.org/officeDocument/2006/relationships/hyperlink" Target="https://www.himeyuri.or.jp/establish/foundation/" TargetMode="External"/><Relationship Id="rId223" Type="http://schemas.openxmlformats.org/officeDocument/2006/relationships/hyperlink" Target="https://www.npo-oec.com/aboutUs.html" TargetMode="External"/><Relationship Id="rId244" Type="http://schemas.openxmlformats.org/officeDocument/2006/relationships/hyperlink" Target="https://ryukyushimpo.jp/news/national/entry-2869997.html" TargetMode="External"/><Relationship Id="rId18" Type="http://schemas.openxmlformats.org/officeDocument/2006/relationships/hyperlink" Target="https://www.qab.co.jp/news/20190202110874.html" TargetMode="External"/><Relationship Id="rId39" Type="http://schemas.openxmlformats.org/officeDocument/2006/relationships/hyperlink" Target="https://www2.kobe-u.ac.jp/~alexroni/TR%202013%20readings/2013_3/05_73-85%20Akibayashi.pdf" TargetMode="External"/><Relationship Id="rId265" Type="http://schemas.openxmlformats.org/officeDocument/2006/relationships/hyperlink" Target="https://www.okinawatimes.co.jp/articles/-/1000372" TargetMode="External"/><Relationship Id="rId286" Type="http://schemas.openxmlformats.org/officeDocument/2006/relationships/hyperlink" Target="https://ryukyushimpo.jp/news/prentry-249100.html" TargetMode="External"/><Relationship Id="rId50" Type="http://schemas.openxmlformats.org/officeDocument/2006/relationships/hyperlink" Target="https://ja.wikipedia.org/wiki/%E3%83%98%E3%83%AA%E5%9F%BA%E5%9C%B0%E5%8F%8D%E5%AF%BE%E5%8D%94%E8%AD%B0%E4%BC%9A" TargetMode="External"/><Relationship Id="rId104" Type="http://schemas.openxmlformats.org/officeDocument/2006/relationships/hyperlink" Target="https://www.npo-homepage.go.jp/npoportal/list?fiscal_year_end_first=&amp;fiscal_year_end_second=&amp;fiscal_year_start_first=&amp;fiscal_year_start_second=&amp;goc%5B0%5D=000&amp;order=desc&amp;page=260&amp;sort=gov_code" TargetMode="External"/><Relationship Id="rId125" Type="http://schemas.openxmlformats.org/officeDocument/2006/relationships/hyperlink" Target="https://www.ywca.or.jp/wp-content/uploads/2020/05/0526.pdf" TargetMode="External"/><Relationship Id="rId146" Type="http://schemas.openxmlformats.org/officeDocument/2006/relationships/hyperlink" Target="https://kenminnokai.okinawa/" TargetMode="External"/><Relationship Id="rId167" Type="http://schemas.openxmlformats.org/officeDocument/2006/relationships/hyperlink" Target="https://www.city.ishigaki.okinawa.jp/soshiki/gikai/teireikairinnjikai/teisyutugianntokekka/reiwagannnenndo/1314.html" TargetMode="External"/><Relationship Id="rId188" Type="http://schemas.openxmlformats.org/officeDocument/2006/relationships/hyperlink" Target="https://www.pref.okinawa.jp/kenkouhou/H30/10gatsu/181031gogai43.pdf" TargetMode="External"/><Relationship Id="rId71" Type="http://schemas.openxmlformats.org/officeDocument/2006/relationships/hyperlink" Target="https://greenaccess.law.osaka-u.ac.jp/archives/7214" TargetMode="External"/><Relationship Id="rId92" Type="http://schemas.openxmlformats.org/officeDocument/2006/relationships/hyperlink" Target="https://www.foei.org/member-groups/switzerland/" TargetMode="External"/><Relationship Id="rId213" Type="http://schemas.openxmlformats.org/officeDocument/2006/relationships/hyperlink" Target="https://www.npo-homepage.go.jp/npoportal/detail/047024579" TargetMode="External"/><Relationship Id="rId234" Type="http://schemas.openxmlformats.org/officeDocument/2006/relationships/hyperlink" Target="https://www.rengo-okinawa.jp/cat-news/post-2174/" TargetMode="External"/><Relationship Id="rId2" Type="http://schemas.openxmlformats.org/officeDocument/2006/relationships/hyperlink" Target="https://www.pref.okinawa.lg.jp/_res/projects/default_project/_page_/001/004/917/2r6hp.pdf" TargetMode="External"/><Relationship Id="rId29" Type="http://schemas.openxmlformats.org/officeDocument/2006/relationships/hyperlink" Target="https://www.jcp.or.jp/akahata/aik15/2015-06-29/2015062903_01_1.html" TargetMode="External"/><Relationship Id="rId255" Type="http://schemas.openxmlformats.org/officeDocument/2006/relationships/hyperlink" Target="https://www.pref.okinawa.jp/kensei/senkyo/1005009/1023802/1021246.html" TargetMode="External"/><Relationship Id="rId276" Type="http://schemas.openxmlformats.org/officeDocument/2006/relationships/hyperlink" Target="https://ryukyushimpo.jp/news/entry-1421139.html" TargetMode="External"/><Relationship Id="rId40" Type="http://schemas.openxmlformats.org/officeDocument/2006/relationships/hyperlink" Target="https://www.kinyobi.co.jp/kinyobinews/2016/06/24/%E8%BE%BA%E9%87%8E%E5%8F%A4%E5%9F%8B%E3%82%81%E7%AB%8B%E3%81%A6%E3%81%AB%E5%8A%A0%E6%8B%85%E3%81%97%E3%81%AA%E3%81%84%E2%80%95%E2%80%95%E5%9C%9F%E7%A0%82%E6%8E%A1%E5%8F%96%E5%9C%B0%E3%81%AE%E9%97%98/" TargetMode="External"/><Relationship Id="rId115" Type="http://schemas.openxmlformats.org/officeDocument/2006/relationships/hyperlink" Target="https://econet.jpn.org/" TargetMode="External"/><Relationship Id="rId136" Type="http://schemas.openxmlformats.org/officeDocument/2006/relationships/hyperlink" Target="https://okinawagodo.org/blog/1230/" TargetMode="External"/><Relationship Id="rId157" Type="http://schemas.openxmlformats.org/officeDocument/2006/relationships/hyperlink" Target="https://www.jichiro.gr.jp/jichiken_kako/report/rep_tosa37/08/0802_yre/index.htm" TargetMode="External"/><Relationship Id="rId178" Type="http://schemas.openxmlformats.org/officeDocument/2006/relationships/hyperlink" Target="https://www.courts.go.jp/naha/vc-files/naha/2024/chisai/minji/tokubetuhozon/R3kanketubunitiranhyou.pdf" TargetMode="External"/><Relationship Id="rId61" Type="http://schemas.openxmlformats.org/officeDocument/2006/relationships/hyperlink" Target="https://www.jelf-justice.org/base_issue/post-1430/" TargetMode="External"/><Relationship Id="rId82" Type="http://schemas.openxmlformats.org/officeDocument/2006/relationships/hyperlink" Target="https://www.grants.gov/search-results-detail/351830" TargetMode="External"/><Relationship Id="rId199" Type="http://schemas.openxmlformats.org/officeDocument/2006/relationships/hyperlink" Target="https://www.okinawajosei.org/" TargetMode="External"/><Relationship Id="rId203" Type="http://schemas.openxmlformats.org/officeDocument/2006/relationships/hyperlink" Target="https://ocrcc.sakura.ne.jp/" TargetMode="External"/><Relationship Id="rId19" Type="http://schemas.openxmlformats.org/officeDocument/2006/relationships/hyperlink" Target="https://www.yaeyama-nippo.co.jp/archives/4232" TargetMode="External"/><Relationship Id="rId224" Type="http://schemas.openxmlformats.org/officeDocument/2006/relationships/hyperlink" Target="https://www.jstage.jst.go.jp/article/pronatura/34/0/34_207/_pdf/-char/en" TargetMode="External"/><Relationship Id="rId245" Type="http://schemas.openxmlformats.org/officeDocument/2006/relationships/hyperlink" Target="https://ryukyukohp.jimdofree.com/%E3%83%9B%E3%83%BC%E3%83%A0/%E6%B2%96%E7%B8%84-%E7%90%89%E7%90%83%E5%BC%A7%E3%81%AE%E5%A3%B0%E3%81%A8%E3%81%AF/" TargetMode="External"/><Relationship Id="rId266" Type="http://schemas.openxmlformats.org/officeDocument/2006/relationships/hyperlink" Target="https://www.shinfujin.gr.jp/up/newspaper/12908" TargetMode="External"/><Relationship Id="rId287" Type="http://schemas.openxmlformats.org/officeDocument/2006/relationships/hyperlink" Target="https://www.city.ishigaki.okinawa.jp/material/files/group/33/giin-2024-3.pdf" TargetMode="External"/><Relationship Id="rId30" Type="http://schemas.openxmlformats.org/officeDocument/2006/relationships/hyperlink" Target="https://ryukyushimpo.jp/news/prentry-239394.html" TargetMode="External"/><Relationship Id="rId105" Type="http://schemas.openxmlformats.org/officeDocument/2006/relationships/hyperlink" Target="https://www.oki-tu.org/about_us" TargetMode="External"/><Relationship Id="rId126" Type="http://schemas.openxmlformats.org/officeDocument/2006/relationships/hyperlink" Target="https://henokoumeruna2018.exblog.jp/" TargetMode="External"/><Relationship Id="rId147" Type="http://schemas.openxmlformats.org/officeDocument/2006/relationships/hyperlink" Target="https://www.qab.co.jp/news/20231123193623.html" TargetMode="External"/><Relationship Id="rId168" Type="http://schemas.openxmlformats.org/officeDocument/2006/relationships/hyperlink" Target="https://www.city.miyakojima.lg.jp/gyosei/kihonkeikaku/kensetsu/shisaku2.html" TargetMode="External"/><Relationship Id="rId51" Type="http://schemas.openxmlformats.org/officeDocument/2006/relationships/hyperlink" Target="https://ishigaki-tohyo.com/" TargetMode="External"/><Relationship Id="rId72" Type="http://schemas.openxmlformats.org/officeDocument/2006/relationships/hyperlink" Target="https://www.dvidshub.net/news/87854/american-womens-welfare-association-celebrates-40-years" TargetMode="External"/><Relationship Id="rId93" Type="http://schemas.openxmlformats.org/officeDocument/2006/relationships/hyperlink" Target="https://www.govinfo.gov/content/pkg/USCOURTS-cand-3_03-cv-04350/pdf/USCOURTS-cand-3_03-cv-04350-16.pdf" TargetMode="External"/><Relationship Id="rId189" Type="http://schemas.openxmlformats.org/officeDocument/2006/relationships/hyperlink" Target="https://www.pref.okinawa.jp/kenkouhou/H30/5gatsu/180523gogai17.pdf" TargetMode="External"/><Relationship Id="rId3" Type="http://schemas.openxmlformats.org/officeDocument/2006/relationships/hyperlink" Target="https://www.wwf.or.jp/activities/statement/3436.html" TargetMode="External"/><Relationship Id="rId214" Type="http://schemas.openxmlformats.org/officeDocument/2006/relationships/hyperlink" Target="https://www.npo-homepage.go.jp/npoportal/document/047024579/hokoku/2024700/2024%E5%B9%B4%E5%BA%A6%E4%BA%8B%E6%A5%AD%E5%A0%B1%E5%91%8A%E6%9B%B8%E7%AD%89.pdf" TargetMode="External"/><Relationship Id="rId235" Type="http://schemas.openxmlformats.org/officeDocument/2006/relationships/hyperlink" Target="https://www.rengo-okinawa.jp/cat-news/post-2414/" TargetMode="External"/><Relationship Id="rId256" Type="http://schemas.openxmlformats.org/officeDocument/2006/relationships/hyperlink" Target="https://ryukyushimpo.jp/news/entry-770040.html" TargetMode="External"/><Relationship Id="rId277" Type="http://schemas.openxmlformats.org/officeDocument/2006/relationships/hyperlink" Target="https://ryukyushimpo.jp/news/entry-1730706.html" TargetMode="External"/><Relationship Id="rId116" Type="http://schemas.openxmlformats.org/officeDocument/2006/relationships/hyperlink" Target="https://darkwater.okinawa/about/" TargetMode="External"/><Relationship Id="rId137" Type="http://schemas.openxmlformats.org/officeDocument/2006/relationships/hyperlink" Target="https://www.courts.go.jp/assets/hanrei/hanrei-pdf-89731.pdf" TargetMode="External"/><Relationship Id="rId158" Type="http://schemas.openxmlformats.org/officeDocument/2006/relationships/hyperlink" Target="https://miyakojima-tikasui.com/about_us.html" TargetMode="External"/><Relationship Id="rId20" Type="http://schemas.openxmlformats.org/officeDocument/2006/relationships/hyperlink" Target="https://ryukyushimpo.jp/news/entry-296563.html" TargetMode="External"/><Relationship Id="rId41" Type="http://schemas.openxmlformats.org/officeDocument/2006/relationships/hyperlink" Target="https://okinawahai.com/american-womens-welfare-association/" TargetMode="External"/><Relationship Id="rId62" Type="http://schemas.openxmlformats.org/officeDocument/2006/relationships/hyperlink" Target="https://earthjustice.org/case/okinawa-dugong-proposed-airbase" TargetMode="External"/><Relationship Id="rId83" Type="http://schemas.openxmlformats.org/officeDocument/2006/relationships/hyperlink" Target="https://www.federalgrants.com/Okinawa-Youth-Council-Program-98421.html" TargetMode="External"/><Relationship Id="rId179" Type="http://schemas.openxmlformats.org/officeDocument/2006/relationships/hyperlink" Target="https://www.ichikawa-fusae.or.jp/20210313-1" TargetMode="External"/><Relationship Id="rId190" Type="http://schemas.openxmlformats.org/officeDocument/2006/relationships/hyperlink" Target="https://www.pref.okinawa.jp/kenkouhou/H31/1gatsu/190131gogai2.pdf" TargetMode="External"/><Relationship Id="rId204" Type="http://schemas.openxmlformats.org/officeDocument/2006/relationships/hyperlink" Target="https://miyakojima-tikasui.com/" TargetMode="External"/><Relationship Id="rId225" Type="http://schemas.openxmlformats.org/officeDocument/2006/relationships/hyperlink" Target="https://www.pref.okinawa.jp/kurashikankyo/kankyo/1004287/1004527.html" TargetMode="External"/><Relationship Id="rId246" Type="http://schemas.openxmlformats.org/officeDocument/2006/relationships/hyperlink" Target="https://ryukyukohp.jimdofree.com/%E3%83%9B%E3%83%BC%E3%83%A0/%E7%AC%AC1%E5%9B%9E-2023-11-12/" TargetMode="External"/><Relationship Id="rId267" Type="http://schemas.openxmlformats.org/officeDocument/2006/relationships/hyperlink" Target="https://ryukyushimpo.jp/news/entry-1579341.html" TargetMode="External"/><Relationship Id="rId288" Type="http://schemas.openxmlformats.org/officeDocument/2006/relationships/hyperlink" Target="https://kokkai.ndl.go.jp/simple/detail?minId=121315359X00520240524" TargetMode="External"/><Relationship Id="rId106" Type="http://schemas.openxmlformats.org/officeDocument/2006/relationships/hyperlink" Target="https://www.oki-htu.or.jp/about.php" TargetMode="External"/><Relationship Id="rId127" Type="http://schemas.openxmlformats.org/officeDocument/2006/relationships/hyperlink" Target="https://www.jawan.jp/rept/rp2019-j129/4.html" TargetMode="External"/><Relationship Id="rId10" Type="http://schemas.openxmlformats.org/officeDocument/2006/relationships/hyperlink" Target="https://www.qab.co.jp/news/2015022363334.html" TargetMode="External"/><Relationship Id="rId31" Type="http://schemas.openxmlformats.org/officeDocument/2006/relationships/hyperlink" Target="http://www.peace-okinawa.net/" TargetMode="External"/><Relationship Id="rId52" Type="http://schemas.openxmlformats.org/officeDocument/2006/relationships/hyperlink" Target="https://isobanokai.ti-da.net/" TargetMode="External"/><Relationship Id="rId73" Type="http://schemas.openxmlformats.org/officeDocument/2006/relationships/hyperlink" Target="https://www.facebook.com/AmericanWelfareandWorksAssociation/" TargetMode="External"/><Relationship Id="rId94" Type="http://schemas.openxmlformats.org/officeDocument/2006/relationships/hyperlink" Target="https://www.dvidshub.net/news/184071/american-womens-welfare-association-donates-van-disabled-okinawan-residents" TargetMode="External"/><Relationship Id="rId148" Type="http://schemas.openxmlformats.org/officeDocument/2006/relationships/hyperlink" Target="https://ryukyushimpo.jp/news/entry-1754082.html" TargetMode="External"/><Relationship Id="rId169" Type="http://schemas.openxmlformats.org/officeDocument/2006/relationships/hyperlink" Target="https://www.city.miyakojima.lg.jp/kurashi/bousai/bousaijyouhou/2019-0613-1126-269.html" TargetMode="External"/><Relationship Id="rId4" Type="http://schemas.openxmlformats.org/officeDocument/2006/relationships/hyperlink" Target="https://www.nacsj.or.jp/statement/50827/" TargetMode="External"/><Relationship Id="rId180" Type="http://schemas.openxmlformats.org/officeDocument/2006/relationships/hyperlink" Target="https://www.kokuminhogo.go.jp/kunren/kyodo/post-103.html" TargetMode="External"/><Relationship Id="rId215" Type="http://schemas.openxmlformats.org/officeDocument/2006/relationships/hyperlink" Target="https://iwj.co.jp/wj/open/archives/177154" TargetMode="External"/><Relationship Id="rId236" Type="http://schemas.openxmlformats.org/officeDocument/2006/relationships/hyperlink" Target="https://www.jichiro.okinawa/about.php" TargetMode="External"/><Relationship Id="rId257" Type="http://schemas.openxmlformats.org/officeDocument/2006/relationships/hyperlink" Target="https://all-okinawa.jp/492" TargetMode="External"/><Relationship Id="rId278" Type="http://schemas.openxmlformats.org/officeDocument/2006/relationships/hyperlink" Target="https://newsdig.tbs.co.jp/articles/-/2642471?display=1" TargetMode="External"/><Relationship Id="rId42" Type="http://schemas.openxmlformats.org/officeDocument/2006/relationships/hyperlink" Target="https://www.city.nago.okinawa.jp/kurashi/2018071900226/" TargetMode="External"/><Relationship Id="rId84" Type="http://schemas.openxmlformats.org/officeDocument/2006/relationships/hyperlink" Target="https://grantedai.com/grants/okinawa-youth-council-program-u-s-mission-to-japan-d2b756a3" TargetMode="External"/><Relationship Id="rId138" Type="http://schemas.openxmlformats.org/officeDocument/2006/relationships/hyperlink" Target="https://www.city.ishigaki.okinawa.jp/jieiteikannrenn/news/3615.html" TargetMode="External"/><Relationship Id="rId191" Type="http://schemas.openxmlformats.org/officeDocument/2006/relationships/hyperlink" Target="https://www.pref.okinawa.jp/kensei/kencho/1001519/1001591/1018974/1018988.html" TargetMode="External"/><Relationship Id="rId205" Type="http://schemas.openxmlformats.org/officeDocument/2006/relationships/hyperlink" Target="https://www.himeyuri.or.jp/wp/wp-content/uploads/dayori-new-073_20240531.pdf" TargetMode="External"/><Relationship Id="rId247" Type="http://schemas.openxmlformats.org/officeDocument/2006/relationships/hyperlink" Target="https://ryukyukohp.jimdofree.com/%E3%83%9B%E3%83%BC%E3%83%A0/%E5%A3%B0%E6%98%8E-%E6%8F%90%E8%A8%80/" TargetMode="External"/><Relationship Id="rId107" Type="http://schemas.openxmlformats.org/officeDocument/2006/relationships/hyperlink" Target="https://www.rengo-okinawa.jp/about-us/" TargetMode="External"/><Relationship Id="rId289" Type="http://schemas.openxmlformats.org/officeDocument/2006/relationships/hyperlink" Target="https://www.zenkowan.org/wp-content/uploads/2025/06/%E6%B2%96%E7%B8%84%E5%9C%B0%E6%96%B9%E3%80%80%E6%AF%94%E5%98%89%E5%8B%81%E5%B8%8C.pdf" TargetMode="External"/><Relationship Id="rId11" Type="http://schemas.openxmlformats.org/officeDocument/2006/relationships/hyperlink" Target="https://ryukyushimpo.jp/news/prentry-239307.html" TargetMode="External"/><Relationship Id="rId53" Type="http://schemas.openxmlformats.org/officeDocument/2006/relationships/hyperlink" Target="https://okinawa.stripes.com/community-news/okinawa-enlisted-spouses-club-uso-okinawa.html" TargetMode="External"/><Relationship Id="rId149" Type="http://schemas.openxmlformats.org/officeDocument/2006/relationships/hyperlink" Target="https://ryukyushimpo.jp/news/entry-1461735.html" TargetMode="External"/><Relationship Id="rId95" Type="http://schemas.openxmlformats.org/officeDocument/2006/relationships/hyperlink" Target="https://www.oki-ngo.org/" TargetMode="External"/><Relationship Id="rId160" Type="http://schemas.openxmlformats.org/officeDocument/2006/relationships/hyperlink" Target="https://www.call4.jp/file/pdf/202407/5f499d29696072751d0d60cc3a9077f5.pdf" TargetMode="External"/><Relationship Id="rId216" Type="http://schemas.openxmlformats.org/officeDocument/2006/relationships/hyperlink" Target="https://www.npo-homepage.go.jp/npoportal/gyosei-print/047024571" TargetMode="External"/><Relationship Id="rId258" Type="http://schemas.openxmlformats.org/officeDocument/2006/relationships/hyperlink" Target="https://ryukyushimpo.jp/news/entry-789039.html" TargetMode="External"/><Relationship Id="rId22" Type="http://schemas.openxmlformats.org/officeDocument/2006/relationships/hyperlink" Target="https://okinawataiwa.net/" TargetMode="External"/><Relationship Id="rId64" Type="http://schemas.openxmlformats.org/officeDocument/2006/relationships/hyperlink" Target="https://peaceboat.org/26488.html" TargetMode="External"/><Relationship Id="rId118" Type="http://schemas.openxmlformats.org/officeDocument/2006/relationships/hyperlink" Target="https://www.city.uruma.lg.jp/documents/2778/163164165kaigiroku_2.pdf" TargetMode="External"/><Relationship Id="rId171" Type="http://schemas.openxmlformats.org/officeDocument/2006/relationships/hyperlink" Target="https://www.city.nago.okinawa.jp/kurashi/2018071901216" TargetMode="External"/><Relationship Id="rId227" Type="http://schemas.openxmlformats.org/officeDocument/2006/relationships/hyperlink" Target="https://ocrcc.sakura.ne.jp/doc/sango_week/sw_application2024.pdf" TargetMode="External"/><Relationship Id="rId269" Type="http://schemas.openxmlformats.org/officeDocument/2006/relationships/hyperlink" Target="https://miyakojima-tikasui.com/crisi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B626A"/>
    <pageSetUpPr fitToPage="1"/>
  </sheetPr>
  <dimension ref="A1:H35"/>
  <sheetViews>
    <sheetView showGridLines="0" tabSelected="1" zoomScale="90" workbookViewId="0">
      <pane ySplit="3" topLeftCell="A4" activePane="bottomLeft" state="frozen"/>
      <selection pane="bottomLeft" sqref="A1:H2"/>
    </sheetView>
  </sheetViews>
  <sheetFormatPr defaultRowHeight="14.4" x14ac:dyDescent="0.25"/>
  <cols>
    <col min="1" max="8" width="17" customWidth="1"/>
  </cols>
  <sheetData>
    <row r="1" spans="1:8" ht="34.049999999999997" customHeight="1" x14ac:dyDescent="0.25">
      <c r="A1" s="18" t="s">
        <v>0</v>
      </c>
      <c r="B1" s="11"/>
      <c r="C1" s="11"/>
      <c r="D1" s="11"/>
      <c r="E1" s="11"/>
      <c r="F1" s="11"/>
      <c r="G1" s="11"/>
      <c r="H1" s="11"/>
    </row>
    <row r="2" spans="1:8" ht="25.95" customHeight="1" x14ac:dyDescent="0.25">
      <c r="A2" s="11"/>
      <c r="B2" s="11"/>
      <c r="C2" s="11"/>
      <c r="D2" s="11"/>
      <c r="E2" s="11"/>
      <c r="F2" s="11"/>
      <c r="G2" s="11"/>
      <c r="H2" s="11"/>
    </row>
    <row r="3" spans="1:8" ht="24" customHeight="1" x14ac:dyDescent="0.25">
      <c r="A3" s="16" t="s">
        <v>1</v>
      </c>
      <c r="B3" s="11"/>
      <c r="C3" s="11"/>
      <c r="D3" s="11"/>
      <c r="E3" s="11"/>
      <c r="F3" s="11"/>
      <c r="G3" s="11"/>
      <c r="H3" s="11"/>
    </row>
    <row r="5" spans="1:8" x14ac:dyDescent="0.25">
      <c r="A5" s="14" t="s">
        <v>2</v>
      </c>
      <c r="B5" s="15"/>
      <c r="C5" s="14" t="s">
        <v>3</v>
      </c>
      <c r="D5" s="15"/>
      <c r="E5" s="14" t="s">
        <v>4</v>
      </c>
      <c r="F5" s="15"/>
      <c r="G5" s="14" t="s">
        <v>5</v>
      </c>
      <c r="H5" s="15"/>
    </row>
    <row r="6" spans="1:8" ht="24" customHeight="1" x14ac:dyDescent="0.25">
      <c r="A6" s="12">
        <f>COUNTA(Actors!A5:A125)</f>
        <v>121</v>
      </c>
      <c r="B6" s="13"/>
      <c r="C6" s="12">
        <f>COUNTA(Sources!A5:A299)</f>
        <v>295</v>
      </c>
      <c r="D6" s="13"/>
      <c r="E6" s="12">
        <f>COUNTA('Actor-Issue'!A5:A287)</f>
        <v>283</v>
      </c>
      <c r="F6" s="13"/>
      <c r="G6" s="12">
        <f>COUNTA('Actor-Place'!A5:A134)</f>
        <v>130</v>
      </c>
      <c r="H6" s="13"/>
    </row>
    <row r="7" spans="1:8" ht="24" customHeight="1" x14ac:dyDescent="0.25">
      <c r="A7" s="13"/>
      <c r="B7" s="13"/>
      <c r="C7" s="13"/>
      <c r="D7" s="13"/>
      <c r="E7" s="13"/>
      <c r="F7" s="13"/>
      <c r="G7" s="13"/>
      <c r="H7" s="13"/>
    </row>
    <row r="9" spans="1:8" x14ac:dyDescent="0.25">
      <c r="A9" s="14" t="s">
        <v>6</v>
      </c>
      <c r="B9" s="15"/>
      <c r="C9" s="14" t="s">
        <v>7</v>
      </c>
      <c r="D9" s="15"/>
      <c r="E9" s="14" t="s">
        <v>8</v>
      </c>
      <c r="F9" s="15"/>
      <c r="G9" s="14" t="s">
        <v>9</v>
      </c>
      <c r="H9" s="15"/>
    </row>
    <row r="10" spans="1:8" ht="24" customHeight="1" x14ac:dyDescent="0.25">
      <c r="A10" s="12">
        <f>COUNTA(Events!A5:A71)</f>
        <v>67</v>
      </c>
      <c r="B10" s="13"/>
      <c r="C10" s="12">
        <f>COUNTA('Typed Relations'!A5:A47)</f>
        <v>43</v>
      </c>
      <c r="D10" s="13"/>
      <c r="E10" s="12">
        <f>COUNTA('Legal Cases'!A5:A10)</f>
        <v>6</v>
      </c>
      <c r="F10" s="13"/>
      <c r="G10" s="12">
        <f>COUNTA(Places!A5:A25)</f>
        <v>21</v>
      </c>
      <c r="H10" s="13"/>
    </row>
    <row r="11" spans="1:8" ht="24" customHeight="1" x14ac:dyDescent="0.25">
      <c r="A11" s="13"/>
      <c r="B11" s="13"/>
      <c r="C11" s="13"/>
      <c r="D11" s="13"/>
      <c r="E11" s="13"/>
      <c r="F11" s="13"/>
      <c r="G11" s="13"/>
      <c r="H11" s="13"/>
    </row>
    <row r="14" spans="1:8" ht="19.8" x14ac:dyDescent="0.4">
      <c r="A14" s="10" t="s">
        <v>10</v>
      </c>
      <c r="B14" s="11"/>
      <c r="C14" s="11"/>
    </row>
    <row r="15" spans="1:8" ht="15" x14ac:dyDescent="0.3">
      <c r="A15" s="1" t="s">
        <v>11</v>
      </c>
      <c r="B15" s="1" t="s">
        <v>12</v>
      </c>
    </row>
    <row r="16" spans="1:8" x14ac:dyDescent="0.25">
      <c r="A16" s="2" t="s">
        <v>13</v>
      </c>
      <c r="B16" s="3">
        <f>COUNTIF('Actor-Issue'!G5:G287,"Reviewed")</f>
        <v>141</v>
      </c>
    </row>
    <row r="17" spans="1:8" x14ac:dyDescent="0.25">
      <c r="A17" s="4" t="s">
        <v>14</v>
      </c>
      <c r="B17" s="3">
        <f>COUNTIF('Actor-Issue'!G5:G287,"Research")</f>
        <v>142</v>
      </c>
    </row>
    <row r="23" spans="1:8" ht="19.8" x14ac:dyDescent="0.4">
      <c r="A23" s="10" t="s">
        <v>15</v>
      </c>
      <c r="B23" s="11"/>
      <c r="C23" s="11"/>
    </row>
    <row r="24" spans="1:8" ht="15" x14ac:dyDescent="0.3">
      <c r="A24" s="1" t="s">
        <v>16</v>
      </c>
      <c r="B24" s="1" t="s">
        <v>17</v>
      </c>
    </row>
    <row r="25" spans="1:8" x14ac:dyDescent="0.25">
      <c r="A25" t="s">
        <v>18</v>
      </c>
      <c r="B25">
        <f>COUNTIF(Actors!C5:C125,A25)</f>
        <v>23</v>
      </c>
    </row>
    <row r="26" spans="1:8" x14ac:dyDescent="0.25">
      <c r="A26" t="s">
        <v>19</v>
      </c>
      <c r="B26">
        <f>COUNTIF(Actors!C5:C125,A26)</f>
        <v>19</v>
      </c>
    </row>
    <row r="27" spans="1:8" x14ac:dyDescent="0.25">
      <c r="A27" t="s">
        <v>20</v>
      </c>
      <c r="B27">
        <f>COUNTIF(Actors!C5:C125,A27)</f>
        <v>16</v>
      </c>
    </row>
    <row r="28" spans="1:8" x14ac:dyDescent="0.25">
      <c r="A28" t="s">
        <v>21</v>
      </c>
      <c r="B28">
        <f>COUNTIF(Actors!C5:C125,A28)</f>
        <v>11</v>
      </c>
    </row>
    <row r="29" spans="1:8" x14ac:dyDescent="0.25">
      <c r="A29" t="s">
        <v>22</v>
      </c>
      <c r="B29">
        <f>COUNTIF(Actors!C5:C125,A29)</f>
        <v>7</v>
      </c>
    </row>
    <row r="30" spans="1:8" ht="19.8" x14ac:dyDescent="0.4">
      <c r="A30" s="10" t="s">
        <v>23</v>
      </c>
      <c r="B30" s="11"/>
      <c r="C30" s="11"/>
      <c r="D30" s="11"/>
      <c r="E30" s="11"/>
      <c r="F30" s="11"/>
      <c r="G30" s="11"/>
      <c r="H30" s="11"/>
    </row>
    <row r="31" spans="1:8" ht="18" customHeight="1" x14ac:dyDescent="0.25">
      <c r="A31" s="17" t="s">
        <v>24</v>
      </c>
      <c r="B31" s="11"/>
      <c r="C31" s="11"/>
      <c r="D31" s="11"/>
      <c r="E31" s="11"/>
      <c r="F31" s="11"/>
      <c r="G31" s="11"/>
      <c r="H31" s="11"/>
    </row>
    <row r="32" spans="1:8" ht="18" customHeight="1" x14ac:dyDescent="0.25">
      <c r="A32" s="19" t="s">
        <v>25</v>
      </c>
      <c r="B32" s="11"/>
      <c r="C32" s="11"/>
      <c r="D32" s="11"/>
      <c r="E32" s="11"/>
      <c r="F32" s="11"/>
      <c r="G32" s="11"/>
      <c r="H32" s="11"/>
    </row>
    <row r="33" spans="1:8" ht="18" customHeight="1" x14ac:dyDescent="0.25">
      <c r="A33" s="17" t="s">
        <v>26</v>
      </c>
      <c r="B33" s="11"/>
      <c r="C33" s="11"/>
      <c r="D33" s="11"/>
      <c r="E33" s="11"/>
      <c r="F33" s="11"/>
      <c r="G33" s="11"/>
      <c r="H33" s="11"/>
    </row>
    <row r="34" spans="1:8" ht="18" customHeight="1" x14ac:dyDescent="0.25">
      <c r="A34" s="19" t="s">
        <v>27</v>
      </c>
      <c r="B34" s="11"/>
      <c r="C34" s="11"/>
      <c r="D34" s="11"/>
      <c r="E34" s="11"/>
      <c r="F34" s="11"/>
      <c r="G34" s="11"/>
      <c r="H34" s="11"/>
    </row>
    <row r="35" spans="1:8" ht="18" customHeight="1" x14ac:dyDescent="0.25">
      <c r="A35" s="17" t="s">
        <v>28</v>
      </c>
      <c r="B35" s="11"/>
      <c r="C35" s="11"/>
      <c r="D35" s="11"/>
      <c r="E35" s="11"/>
      <c r="F35" s="11"/>
      <c r="G35" s="11"/>
      <c r="H35" s="11"/>
    </row>
  </sheetData>
  <mergeCells count="26">
    <mergeCell ref="A1:H2"/>
    <mergeCell ref="A32:H32"/>
    <mergeCell ref="A35:H35"/>
    <mergeCell ref="C10:D11"/>
    <mergeCell ref="E10:F11"/>
    <mergeCell ref="G10:H11"/>
    <mergeCell ref="A6:B7"/>
    <mergeCell ref="A9:B9"/>
    <mergeCell ref="G9:H9"/>
    <mergeCell ref="A31:H31"/>
    <mergeCell ref="A34:H34"/>
    <mergeCell ref="A3:H3"/>
    <mergeCell ref="C6:D7"/>
    <mergeCell ref="A5:B5"/>
    <mergeCell ref="G5:H5"/>
    <mergeCell ref="A33:H33"/>
    <mergeCell ref="A30:H30"/>
    <mergeCell ref="E6:F7"/>
    <mergeCell ref="G6:H7"/>
    <mergeCell ref="C5:D5"/>
    <mergeCell ref="E5:F5"/>
    <mergeCell ref="A23:C23"/>
    <mergeCell ref="A14:C14"/>
    <mergeCell ref="A10:B11"/>
    <mergeCell ref="C9:D9"/>
    <mergeCell ref="E9:F9"/>
  </mergeCells>
  <phoneticPr fontId="12" type="noConversion"/>
  <pageMargins left="0.3" right="0.3" top="0.35" bottom="0.35" header="0.5" footer="0.5"/>
  <pageSetup orientation="landscape"/>
  <headerFooter>
    <oddHeader>&amp;C&amp;BOverview</oddHeader>
    <oddFooter>&amp;L&amp;C&amp;R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B626A"/>
    <pageSetUpPr fitToPage="1"/>
  </sheetPr>
  <dimension ref="A1:K125"/>
  <sheetViews>
    <sheetView showGridLines="0" zoomScale="85" workbookViewId="0">
      <pane ySplit="4" topLeftCell="A5" activePane="bottomLeft" state="frozen"/>
      <selection pane="bottomLeft"/>
    </sheetView>
  </sheetViews>
  <sheetFormatPr defaultRowHeight="14.4" x14ac:dyDescent="0.25"/>
  <cols>
    <col min="1" max="1" width="11" customWidth="1"/>
    <col min="2" max="2" width="42" customWidth="1"/>
    <col min="3" max="3" width="37" customWidth="1"/>
    <col min="4" max="4" width="20" customWidth="1"/>
    <col min="5" max="7" width="42" customWidth="1"/>
    <col min="8" max="8" width="16" customWidth="1"/>
    <col min="9" max="9" width="23" customWidth="1"/>
    <col min="10" max="11" width="42" customWidth="1"/>
  </cols>
  <sheetData>
    <row r="1" spans="1:11" ht="34.049999999999997" customHeight="1" x14ac:dyDescent="0.25">
      <c r="A1" s="21" t="s">
        <v>29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31.95" customHeight="1" x14ac:dyDescent="0.25">
      <c r="A2" s="20" t="s">
        <v>30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4" spans="1:11" ht="34.049999999999997" customHeight="1" x14ac:dyDescent="0.25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38</v>
      </c>
      <c r="I4" s="5" t="s">
        <v>39</v>
      </c>
      <c r="J4" s="5" t="s">
        <v>40</v>
      </c>
      <c r="K4" s="5" t="s">
        <v>41</v>
      </c>
    </row>
    <row r="5" spans="1:11" ht="30" customHeight="1" x14ac:dyDescent="0.25">
      <c r="A5" s="6" t="s">
        <v>42</v>
      </c>
      <c r="B5" s="6" t="s">
        <v>43</v>
      </c>
      <c r="C5" s="7" t="s">
        <v>22</v>
      </c>
      <c r="D5" s="7" t="s">
        <v>44</v>
      </c>
      <c r="E5" s="7" t="s">
        <v>45</v>
      </c>
      <c r="F5" s="7" t="s">
        <v>46</v>
      </c>
      <c r="G5" s="7" t="s">
        <v>47</v>
      </c>
      <c r="H5" s="7" t="s">
        <v>48</v>
      </c>
      <c r="I5" s="7" t="s">
        <v>49</v>
      </c>
      <c r="J5" s="7" t="s">
        <v>50</v>
      </c>
      <c r="K5" s="7" t="s">
        <v>51</v>
      </c>
    </row>
    <row r="6" spans="1:11" ht="30" customHeight="1" x14ac:dyDescent="0.25">
      <c r="A6" s="6" t="s">
        <v>52</v>
      </c>
      <c r="B6" s="6" t="s">
        <v>53</v>
      </c>
      <c r="C6" s="7" t="s">
        <v>22</v>
      </c>
      <c r="D6" s="7" t="s">
        <v>54</v>
      </c>
      <c r="E6" s="7" t="s">
        <v>55</v>
      </c>
      <c r="F6" s="7" t="s">
        <v>56</v>
      </c>
      <c r="G6" s="7" t="s">
        <v>57</v>
      </c>
      <c r="H6" s="7" t="s">
        <v>48</v>
      </c>
      <c r="I6" s="7" t="s">
        <v>58</v>
      </c>
      <c r="J6" s="7" t="s">
        <v>50</v>
      </c>
      <c r="K6" s="7" t="s">
        <v>59</v>
      </c>
    </row>
    <row r="7" spans="1:11" ht="30" customHeight="1" x14ac:dyDescent="0.25">
      <c r="A7" s="6" t="s">
        <v>60</v>
      </c>
      <c r="B7" s="6" t="s">
        <v>61</v>
      </c>
      <c r="C7" s="7" t="s">
        <v>62</v>
      </c>
      <c r="D7" s="7" t="s">
        <v>63</v>
      </c>
      <c r="E7" s="7" t="s">
        <v>45</v>
      </c>
      <c r="F7" s="7" t="s">
        <v>64</v>
      </c>
      <c r="G7" s="7" t="s">
        <v>65</v>
      </c>
      <c r="H7" s="7" t="s">
        <v>66</v>
      </c>
      <c r="I7" s="7" t="s">
        <v>67</v>
      </c>
      <c r="J7" s="7" t="s">
        <v>50</v>
      </c>
      <c r="K7" s="7" t="s">
        <v>68</v>
      </c>
    </row>
    <row r="8" spans="1:11" ht="30" customHeight="1" x14ac:dyDescent="0.25">
      <c r="A8" s="6" t="s">
        <v>69</v>
      </c>
      <c r="B8" s="6" t="s">
        <v>70</v>
      </c>
      <c r="C8" s="7" t="s">
        <v>21</v>
      </c>
      <c r="D8" s="7" t="s">
        <v>54</v>
      </c>
      <c r="E8" s="7" t="s">
        <v>71</v>
      </c>
      <c r="F8" s="7" t="s">
        <v>72</v>
      </c>
      <c r="G8" s="7" t="s">
        <v>73</v>
      </c>
      <c r="H8" s="7" t="s">
        <v>48</v>
      </c>
      <c r="I8" s="7" t="s">
        <v>49</v>
      </c>
      <c r="J8" s="7" t="s">
        <v>50</v>
      </c>
      <c r="K8" s="7" t="s">
        <v>74</v>
      </c>
    </row>
    <row r="9" spans="1:11" ht="30" customHeight="1" x14ac:dyDescent="0.25">
      <c r="A9" s="6" t="s">
        <v>75</v>
      </c>
      <c r="B9" s="6" t="s">
        <v>76</v>
      </c>
      <c r="C9" s="7" t="s">
        <v>21</v>
      </c>
      <c r="D9" s="7" t="s">
        <v>54</v>
      </c>
      <c r="E9" s="7" t="s">
        <v>77</v>
      </c>
      <c r="F9" s="7" t="s">
        <v>72</v>
      </c>
      <c r="G9" s="7" t="s">
        <v>78</v>
      </c>
      <c r="H9" s="7" t="s">
        <v>48</v>
      </c>
      <c r="I9" s="7" t="s">
        <v>49</v>
      </c>
      <c r="J9" s="7" t="s">
        <v>50</v>
      </c>
      <c r="K9" s="7" t="s">
        <v>68</v>
      </c>
    </row>
    <row r="10" spans="1:11" ht="30" customHeight="1" x14ac:dyDescent="0.25">
      <c r="A10" s="6" t="s">
        <v>79</v>
      </c>
      <c r="B10" s="6" t="s">
        <v>80</v>
      </c>
      <c r="C10" s="7" t="s">
        <v>21</v>
      </c>
      <c r="D10" s="7" t="s">
        <v>54</v>
      </c>
      <c r="E10" s="7" t="s">
        <v>81</v>
      </c>
      <c r="F10" s="7" t="s">
        <v>72</v>
      </c>
      <c r="G10" s="7" t="s">
        <v>82</v>
      </c>
      <c r="H10" s="7" t="s">
        <v>48</v>
      </c>
      <c r="I10" s="7" t="s">
        <v>49</v>
      </c>
      <c r="J10" s="7" t="s">
        <v>50</v>
      </c>
      <c r="K10" s="7" t="s">
        <v>68</v>
      </c>
    </row>
    <row r="11" spans="1:11" ht="30" customHeight="1" x14ac:dyDescent="0.25">
      <c r="A11" s="6" t="s">
        <v>83</v>
      </c>
      <c r="B11" s="6" t="s">
        <v>84</v>
      </c>
      <c r="C11" s="7" t="s">
        <v>21</v>
      </c>
      <c r="D11" s="7" t="s">
        <v>54</v>
      </c>
      <c r="E11" s="7" t="s">
        <v>85</v>
      </c>
      <c r="F11" s="7" t="s">
        <v>86</v>
      </c>
      <c r="G11" s="7" t="s">
        <v>87</v>
      </c>
      <c r="H11" s="7" t="s">
        <v>48</v>
      </c>
      <c r="I11" s="7" t="s">
        <v>58</v>
      </c>
      <c r="J11" s="7" t="s">
        <v>50</v>
      </c>
      <c r="K11" s="7" t="s">
        <v>88</v>
      </c>
    </row>
    <row r="12" spans="1:11" ht="30" customHeight="1" x14ac:dyDescent="0.25">
      <c r="A12" s="6" t="s">
        <v>89</v>
      </c>
      <c r="B12" s="6" t="s">
        <v>90</v>
      </c>
      <c r="C12" s="7" t="s">
        <v>18</v>
      </c>
      <c r="D12" s="7" t="s">
        <v>54</v>
      </c>
      <c r="E12" s="7" t="s">
        <v>91</v>
      </c>
      <c r="F12" s="7" t="s">
        <v>92</v>
      </c>
      <c r="G12" s="7" t="s">
        <v>93</v>
      </c>
      <c r="H12" s="7" t="s">
        <v>66</v>
      </c>
      <c r="I12" s="7" t="s">
        <v>58</v>
      </c>
      <c r="J12" s="7" t="s">
        <v>50</v>
      </c>
      <c r="K12" s="7" t="s">
        <v>94</v>
      </c>
    </row>
    <row r="13" spans="1:11" ht="30" customHeight="1" x14ac:dyDescent="0.25">
      <c r="A13" s="6" t="s">
        <v>95</v>
      </c>
      <c r="B13" s="6" t="s">
        <v>96</v>
      </c>
      <c r="C13" s="7" t="s">
        <v>22</v>
      </c>
      <c r="D13" s="7" t="s">
        <v>97</v>
      </c>
      <c r="E13" s="7" t="s">
        <v>81</v>
      </c>
      <c r="F13" s="7" t="s">
        <v>98</v>
      </c>
      <c r="G13" s="7" t="s">
        <v>99</v>
      </c>
      <c r="H13" s="7" t="s">
        <v>48</v>
      </c>
      <c r="I13" s="7" t="s">
        <v>49</v>
      </c>
      <c r="J13" s="7" t="s">
        <v>50</v>
      </c>
      <c r="K13" s="7" t="s">
        <v>100</v>
      </c>
    </row>
    <row r="14" spans="1:11" ht="30" customHeight="1" x14ac:dyDescent="0.25">
      <c r="A14" s="6" t="s">
        <v>101</v>
      </c>
      <c r="B14" s="6" t="s">
        <v>102</v>
      </c>
      <c r="C14" s="7" t="s">
        <v>18</v>
      </c>
      <c r="D14" s="7" t="s">
        <v>63</v>
      </c>
      <c r="E14" s="7" t="s">
        <v>55</v>
      </c>
      <c r="F14" s="7" t="s">
        <v>103</v>
      </c>
      <c r="G14" s="7" t="s">
        <v>104</v>
      </c>
      <c r="H14" s="7" t="s">
        <v>48</v>
      </c>
      <c r="I14" s="7" t="s">
        <v>58</v>
      </c>
      <c r="J14" s="7" t="s">
        <v>50</v>
      </c>
      <c r="K14" s="7" t="s">
        <v>105</v>
      </c>
    </row>
    <row r="15" spans="1:11" ht="30" customHeight="1" x14ac:dyDescent="0.25">
      <c r="A15" s="6" t="s">
        <v>106</v>
      </c>
      <c r="B15" s="6" t="s">
        <v>107</v>
      </c>
      <c r="C15" s="7" t="s">
        <v>19</v>
      </c>
      <c r="D15" s="7" t="s">
        <v>63</v>
      </c>
      <c r="E15" s="7" t="s">
        <v>55</v>
      </c>
      <c r="F15" s="7" t="s">
        <v>103</v>
      </c>
      <c r="G15" s="7" t="s">
        <v>108</v>
      </c>
      <c r="H15" s="7" t="s">
        <v>48</v>
      </c>
      <c r="I15" s="7" t="s">
        <v>109</v>
      </c>
      <c r="J15" s="7" t="s">
        <v>50</v>
      </c>
      <c r="K15" s="7" t="s">
        <v>110</v>
      </c>
    </row>
    <row r="16" spans="1:11" ht="30" customHeight="1" x14ac:dyDescent="0.25">
      <c r="A16" s="6" t="s">
        <v>111</v>
      </c>
      <c r="B16" s="6" t="s">
        <v>112</v>
      </c>
      <c r="C16" s="7" t="s">
        <v>19</v>
      </c>
      <c r="D16" s="7" t="s">
        <v>63</v>
      </c>
      <c r="E16" s="7" t="s">
        <v>55</v>
      </c>
      <c r="F16" s="7" t="s">
        <v>113</v>
      </c>
      <c r="G16" s="7" t="s">
        <v>114</v>
      </c>
      <c r="H16" s="7" t="s">
        <v>66</v>
      </c>
      <c r="I16" s="7" t="s">
        <v>67</v>
      </c>
      <c r="J16" s="7" t="s">
        <v>50</v>
      </c>
      <c r="K16" s="7" t="s">
        <v>115</v>
      </c>
    </row>
    <row r="17" spans="1:11" ht="30" customHeight="1" x14ac:dyDescent="0.25">
      <c r="A17" s="6" t="s">
        <v>116</v>
      </c>
      <c r="B17" s="6" t="s">
        <v>117</v>
      </c>
      <c r="C17" s="7" t="s">
        <v>18</v>
      </c>
      <c r="D17" s="7" t="s">
        <v>63</v>
      </c>
      <c r="E17" s="7" t="s">
        <v>55</v>
      </c>
      <c r="F17" s="7" t="s">
        <v>113</v>
      </c>
      <c r="G17" s="7" t="s">
        <v>118</v>
      </c>
      <c r="H17" s="7" t="s">
        <v>48</v>
      </c>
      <c r="I17" s="7" t="s">
        <v>49</v>
      </c>
      <c r="J17" s="7" t="s">
        <v>50</v>
      </c>
      <c r="K17" s="7" t="s">
        <v>119</v>
      </c>
    </row>
    <row r="18" spans="1:11" ht="30" customHeight="1" x14ac:dyDescent="0.25">
      <c r="A18" s="6" t="s">
        <v>120</v>
      </c>
      <c r="B18" s="6" t="s">
        <v>121</v>
      </c>
      <c r="C18" s="7" t="s">
        <v>122</v>
      </c>
      <c r="D18" s="7" t="s">
        <v>63</v>
      </c>
      <c r="E18" s="7" t="s">
        <v>123</v>
      </c>
      <c r="F18" s="7" t="s">
        <v>124</v>
      </c>
      <c r="G18" s="7" t="s">
        <v>125</v>
      </c>
      <c r="H18" s="7" t="s">
        <v>126</v>
      </c>
      <c r="I18" s="7" t="s">
        <v>127</v>
      </c>
      <c r="J18" s="7" t="s">
        <v>50</v>
      </c>
      <c r="K18" s="7" t="s">
        <v>128</v>
      </c>
    </row>
    <row r="19" spans="1:11" ht="30" customHeight="1" x14ac:dyDescent="0.25">
      <c r="A19" s="6" t="s">
        <v>129</v>
      </c>
      <c r="B19" s="6" t="s">
        <v>130</v>
      </c>
      <c r="C19" s="7" t="s">
        <v>122</v>
      </c>
      <c r="D19" s="7" t="s">
        <v>63</v>
      </c>
      <c r="E19" s="7" t="s">
        <v>55</v>
      </c>
      <c r="F19" s="7" t="s">
        <v>131</v>
      </c>
      <c r="G19" s="7" t="s">
        <v>132</v>
      </c>
      <c r="H19" s="7" t="s">
        <v>126</v>
      </c>
      <c r="I19" s="7" t="s">
        <v>127</v>
      </c>
      <c r="J19" s="7" t="s">
        <v>50</v>
      </c>
      <c r="K19" s="7" t="s">
        <v>133</v>
      </c>
    </row>
    <row r="20" spans="1:11" ht="30" customHeight="1" x14ac:dyDescent="0.25">
      <c r="A20" s="6" t="s">
        <v>134</v>
      </c>
      <c r="B20" s="6" t="s">
        <v>135</v>
      </c>
      <c r="C20" s="7" t="s">
        <v>19</v>
      </c>
      <c r="D20" s="7" t="s">
        <v>63</v>
      </c>
      <c r="E20" s="7" t="s">
        <v>55</v>
      </c>
      <c r="F20" s="7" t="s">
        <v>124</v>
      </c>
      <c r="G20" s="7" t="s">
        <v>136</v>
      </c>
      <c r="H20" s="7" t="s">
        <v>66</v>
      </c>
      <c r="I20" s="7" t="s">
        <v>109</v>
      </c>
      <c r="J20" s="7" t="s">
        <v>50</v>
      </c>
      <c r="K20" s="7" t="s">
        <v>137</v>
      </c>
    </row>
    <row r="21" spans="1:11" ht="30" customHeight="1" x14ac:dyDescent="0.25">
      <c r="A21" s="6" t="s">
        <v>138</v>
      </c>
      <c r="B21" s="6" t="s">
        <v>139</v>
      </c>
      <c r="C21" s="7" t="s">
        <v>18</v>
      </c>
      <c r="D21" s="7" t="s">
        <v>63</v>
      </c>
      <c r="E21" s="7" t="s">
        <v>45</v>
      </c>
      <c r="F21" s="7" t="s">
        <v>140</v>
      </c>
      <c r="G21" s="7" t="s">
        <v>141</v>
      </c>
      <c r="H21" s="7" t="s">
        <v>48</v>
      </c>
      <c r="I21" s="7" t="s">
        <v>109</v>
      </c>
      <c r="J21" s="7" t="s">
        <v>50</v>
      </c>
      <c r="K21" s="7" t="s">
        <v>142</v>
      </c>
    </row>
    <row r="22" spans="1:11" ht="30" customHeight="1" x14ac:dyDescent="0.25">
      <c r="A22" s="6" t="s">
        <v>143</v>
      </c>
      <c r="B22" s="6" t="s">
        <v>144</v>
      </c>
      <c r="C22" s="7" t="s">
        <v>19</v>
      </c>
      <c r="D22" s="7" t="s">
        <v>63</v>
      </c>
      <c r="E22" s="7" t="s">
        <v>145</v>
      </c>
      <c r="F22" s="7" t="s">
        <v>140</v>
      </c>
      <c r="G22" s="7" t="s">
        <v>146</v>
      </c>
      <c r="H22" s="7" t="s">
        <v>48</v>
      </c>
      <c r="I22" s="7" t="s">
        <v>58</v>
      </c>
      <c r="J22" s="7" t="s">
        <v>50</v>
      </c>
      <c r="K22" s="7" t="s">
        <v>147</v>
      </c>
    </row>
    <row r="23" spans="1:11" ht="30" customHeight="1" x14ac:dyDescent="0.25">
      <c r="A23" s="6" t="s">
        <v>148</v>
      </c>
      <c r="B23" s="6" t="s">
        <v>149</v>
      </c>
      <c r="C23" s="7" t="s">
        <v>18</v>
      </c>
      <c r="D23" s="7" t="s">
        <v>63</v>
      </c>
      <c r="E23" s="7" t="s">
        <v>55</v>
      </c>
      <c r="F23" s="7" t="s">
        <v>150</v>
      </c>
      <c r="G23" s="7" t="s">
        <v>151</v>
      </c>
      <c r="H23" s="7" t="s">
        <v>48</v>
      </c>
      <c r="I23" s="7" t="s">
        <v>109</v>
      </c>
      <c r="J23" s="7" t="s">
        <v>50</v>
      </c>
      <c r="K23" s="7" t="s">
        <v>152</v>
      </c>
    </row>
    <row r="24" spans="1:11" ht="30" customHeight="1" x14ac:dyDescent="0.25">
      <c r="A24" s="6" t="s">
        <v>153</v>
      </c>
      <c r="B24" s="6" t="s">
        <v>154</v>
      </c>
      <c r="C24" s="7" t="s">
        <v>155</v>
      </c>
      <c r="D24" s="7" t="s">
        <v>54</v>
      </c>
      <c r="E24" s="7" t="s">
        <v>85</v>
      </c>
      <c r="F24" s="7" t="s">
        <v>72</v>
      </c>
      <c r="G24" s="7" t="s">
        <v>156</v>
      </c>
      <c r="H24" s="7" t="s">
        <v>48</v>
      </c>
      <c r="I24" s="7" t="s">
        <v>49</v>
      </c>
      <c r="J24" s="7" t="s">
        <v>50</v>
      </c>
      <c r="K24" s="7" t="s">
        <v>157</v>
      </c>
    </row>
    <row r="25" spans="1:11" ht="30" customHeight="1" x14ac:dyDescent="0.25">
      <c r="A25" s="6" t="s">
        <v>158</v>
      </c>
      <c r="B25" s="6" t="s">
        <v>159</v>
      </c>
      <c r="C25" s="7" t="s">
        <v>21</v>
      </c>
      <c r="D25" s="7" t="s">
        <v>54</v>
      </c>
      <c r="E25" s="7" t="s">
        <v>81</v>
      </c>
      <c r="F25" s="7" t="s">
        <v>72</v>
      </c>
      <c r="G25" s="7" t="s">
        <v>160</v>
      </c>
      <c r="H25" s="7" t="s">
        <v>48</v>
      </c>
      <c r="I25" s="7" t="s">
        <v>49</v>
      </c>
      <c r="J25" s="7" t="s">
        <v>50</v>
      </c>
      <c r="K25" s="7" t="s">
        <v>74</v>
      </c>
    </row>
    <row r="26" spans="1:11" ht="30" customHeight="1" x14ac:dyDescent="0.25">
      <c r="A26" s="6" t="s">
        <v>161</v>
      </c>
      <c r="B26" s="6" t="s">
        <v>162</v>
      </c>
      <c r="C26" s="7" t="s">
        <v>21</v>
      </c>
      <c r="D26" s="7" t="s">
        <v>54</v>
      </c>
      <c r="E26" s="7" t="s">
        <v>163</v>
      </c>
      <c r="F26" s="7" t="s">
        <v>72</v>
      </c>
      <c r="G26" s="7" t="s">
        <v>164</v>
      </c>
      <c r="H26" s="7" t="s">
        <v>48</v>
      </c>
      <c r="I26" s="7" t="s">
        <v>49</v>
      </c>
      <c r="J26" s="7" t="s">
        <v>50</v>
      </c>
      <c r="K26" s="7" t="s">
        <v>74</v>
      </c>
    </row>
    <row r="27" spans="1:11" ht="30" customHeight="1" x14ac:dyDescent="0.25">
      <c r="A27" s="6" t="s">
        <v>165</v>
      </c>
      <c r="B27" s="6" t="s">
        <v>166</v>
      </c>
      <c r="C27" s="7" t="s">
        <v>62</v>
      </c>
      <c r="D27" s="7" t="s">
        <v>54</v>
      </c>
      <c r="E27" s="7" t="s">
        <v>55</v>
      </c>
      <c r="F27" s="7" t="s">
        <v>167</v>
      </c>
      <c r="G27" s="7" t="s">
        <v>168</v>
      </c>
      <c r="H27" s="7" t="s">
        <v>48</v>
      </c>
      <c r="I27" s="7" t="s">
        <v>49</v>
      </c>
      <c r="J27" s="7" t="s">
        <v>50</v>
      </c>
      <c r="K27" s="7" t="s">
        <v>74</v>
      </c>
    </row>
    <row r="28" spans="1:11" ht="30" customHeight="1" x14ac:dyDescent="0.25">
      <c r="A28" s="6" t="s">
        <v>169</v>
      </c>
      <c r="B28" s="6" t="s">
        <v>170</v>
      </c>
      <c r="C28" s="7" t="s">
        <v>18</v>
      </c>
      <c r="D28" s="7" t="s">
        <v>63</v>
      </c>
      <c r="E28" s="7" t="s">
        <v>55</v>
      </c>
      <c r="F28" s="7" t="s">
        <v>171</v>
      </c>
      <c r="G28" s="7" t="s">
        <v>172</v>
      </c>
      <c r="H28" s="7" t="s">
        <v>48</v>
      </c>
      <c r="I28" s="7" t="s">
        <v>49</v>
      </c>
      <c r="J28" s="7" t="s">
        <v>50</v>
      </c>
      <c r="K28" s="7" t="s">
        <v>74</v>
      </c>
    </row>
    <row r="29" spans="1:11" ht="30" customHeight="1" x14ac:dyDescent="0.25">
      <c r="A29" s="6" t="s">
        <v>173</v>
      </c>
      <c r="B29" s="6" t="s">
        <v>174</v>
      </c>
      <c r="C29" s="7" t="s">
        <v>122</v>
      </c>
      <c r="D29" s="7" t="s">
        <v>63</v>
      </c>
      <c r="E29" s="7" t="s">
        <v>55</v>
      </c>
      <c r="F29" s="7" t="s">
        <v>175</v>
      </c>
      <c r="G29" s="7" t="s">
        <v>172</v>
      </c>
      <c r="H29" s="7" t="s">
        <v>48</v>
      </c>
      <c r="I29" s="7" t="s">
        <v>49</v>
      </c>
      <c r="J29" s="7" t="s">
        <v>50</v>
      </c>
      <c r="K29" s="7" t="s">
        <v>74</v>
      </c>
    </row>
    <row r="30" spans="1:11" ht="30" customHeight="1" x14ac:dyDescent="0.25">
      <c r="A30" s="6" t="s">
        <v>176</v>
      </c>
      <c r="B30" s="6" t="s">
        <v>177</v>
      </c>
      <c r="C30" s="7" t="s">
        <v>19</v>
      </c>
      <c r="D30" s="7" t="s">
        <v>54</v>
      </c>
      <c r="E30" s="7" t="s">
        <v>45</v>
      </c>
      <c r="F30" s="7" t="s">
        <v>178</v>
      </c>
      <c r="G30" s="7" t="s">
        <v>179</v>
      </c>
      <c r="H30" s="7" t="s">
        <v>48</v>
      </c>
      <c r="I30" s="7" t="s">
        <v>67</v>
      </c>
      <c r="J30" s="7" t="s">
        <v>50</v>
      </c>
      <c r="K30" s="7" t="s">
        <v>74</v>
      </c>
    </row>
    <row r="31" spans="1:11" ht="30" customHeight="1" x14ac:dyDescent="0.25">
      <c r="A31" s="6" t="s">
        <v>180</v>
      </c>
      <c r="B31" s="6" t="s">
        <v>181</v>
      </c>
      <c r="C31" s="7" t="s">
        <v>18</v>
      </c>
      <c r="D31" s="7" t="s">
        <v>54</v>
      </c>
      <c r="E31" s="7" t="s">
        <v>45</v>
      </c>
      <c r="F31" s="7" t="s">
        <v>72</v>
      </c>
      <c r="G31" s="7" t="s">
        <v>182</v>
      </c>
      <c r="H31" s="7" t="s">
        <v>48</v>
      </c>
      <c r="I31" s="7" t="s">
        <v>49</v>
      </c>
      <c r="J31" s="7" t="s">
        <v>50</v>
      </c>
      <c r="K31" s="7" t="s">
        <v>74</v>
      </c>
    </row>
    <row r="32" spans="1:11" ht="30" customHeight="1" x14ac:dyDescent="0.25">
      <c r="A32" s="6" t="s">
        <v>183</v>
      </c>
      <c r="B32" s="6" t="s">
        <v>184</v>
      </c>
      <c r="C32" s="7" t="s">
        <v>22</v>
      </c>
      <c r="D32" s="7" t="s">
        <v>44</v>
      </c>
      <c r="E32" s="7" t="s">
        <v>185</v>
      </c>
      <c r="F32" s="7" t="s">
        <v>186</v>
      </c>
      <c r="G32" s="7" t="s">
        <v>187</v>
      </c>
      <c r="H32" s="7" t="s">
        <v>48</v>
      </c>
      <c r="I32" s="7" t="s">
        <v>49</v>
      </c>
      <c r="J32" s="7" t="s">
        <v>50</v>
      </c>
      <c r="K32" s="7" t="s">
        <v>74</v>
      </c>
    </row>
    <row r="33" spans="1:11" ht="30" customHeight="1" x14ac:dyDescent="0.25">
      <c r="A33" s="6" t="s">
        <v>188</v>
      </c>
      <c r="B33" s="6" t="s">
        <v>189</v>
      </c>
      <c r="C33" s="7" t="s">
        <v>18</v>
      </c>
      <c r="D33" s="7" t="s">
        <v>63</v>
      </c>
      <c r="E33" s="7" t="s">
        <v>185</v>
      </c>
      <c r="F33" s="7" t="s">
        <v>64</v>
      </c>
      <c r="G33" s="7" t="s">
        <v>190</v>
      </c>
      <c r="H33" s="7" t="s">
        <v>48</v>
      </c>
      <c r="I33" s="7" t="s">
        <v>49</v>
      </c>
      <c r="J33" s="7" t="s">
        <v>50</v>
      </c>
      <c r="K33" s="7" t="s">
        <v>74</v>
      </c>
    </row>
    <row r="34" spans="1:11" ht="30" customHeight="1" x14ac:dyDescent="0.25">
      <c r="A34" s="6" t="s">
        <v>191</v>
      </c>
      <c r="B34" s="6" t="s">
        <v>192</v>
      </c>
      <c r="C34" s="7" t="s">
        <v>21</v>
      </c>
      <c r="D34" s="7" t="s">
        <v>54</v>
      </c>
      <c r="E34" s="7" t="s">
        <v>145</v>
      </c>
      <c r="F34" s="7" t="s">
        <v>72</v>
      </c>
      <c r="G34" s="7" t="s">
        <v>193</v>
      </c>
      <c r="H34" s="7" t="s">
        <v>48</v>
      </c>
      <c r="I34" s="7" t="s">
        <v>49</v>
      </c>
      <c r="J34" s="7" t="s">
        <v>50</v>
      </c>
      <c r="K34" s="7" t="s">
        <v>74</v>
      </c>
    </row>
    <row r="35" spans="1:11" ht="30" customHeight="1" x14ac:dyDescent="0.25">
      <c r="A35" s="6" t="s">
        <v>194</v>
      </c>
      <c r="B35" s="6" t="s">
        <v>195</v>
      </c>
      <c r="C35" s="7" t="s">
        <v>21</v>
      </c>
      <c r="D35" s="7" t="s">
        <v>54</v>
      </c>
      <c r="E35" s="7" t="s">
        <v>145</v>
      </c>
      <c r="F35" s="7" t="s">
        <v>72</v>
      </c>
      <c r="G35" s="7" t="s">
        <v>193</v>
      </c>
      <c r="H35" s="7" t="s">
        <v>48</v>
      </c>
      <c r="I35" s="7" t="s">
        <v>49</v>
      </c>
      <c r="J35" s="7" t="s">
        <v>50</v>
      </c>
      <c r="K35" s="7" t="s">
        <v>74</v>
      </c>
    </row>
    <row r="36" spans="1:11" ht="30" customHeight="1" x14ac:dyDescent="0.25">
      <c r="A36" s="6" t="s">
        <v>196</v>
      </c>
      <c r="B36" s="6" t="s">
        <v>197</v>
      </c>
      <c r="C36" s="7" t="s">
        <v>22</v>
      </c>
      <c r="D36" s="7" t="s">
        <v>198</v>
      </c>
      <c r="E36" s="7" t="s">
        <v>45</v>
      </c>
      <c r="F36" s="7" t="s">
        <v>199</v>
      </c>
      <c r="G36" s="7" t="s">
        <v>200</v>
      </c>
      <c r="H36" s="7" t="s">
        <v>48</v>
      </c>
      <c r="I36" s="7" t="s">
        <v>49</v>
      </c>
      <c r="J36" s="7" t="s">
        <v>50</v>
      </c>
      <c r="K36" s="7" t="s">
        <v>74</v>
      </c>
    </row>
    <row r="37" spans="1:11" ht="30" customHeight="1" x14ac:dyDescent="0.25">
      <c r="A37" s="6" t="s">
        <v>201</v>
      </c>
      <c r="B37" s="6" t="s">
        <v>202</v>
      </c>
      <c r="C37" s="7" t="s">
        <v>20</v>
      </c>
      <c r="D37" s="7" t="s">
        <v>97</v>
      </c>
      <c r="E37" s="7" t="s">
        <v>81</v>
      </c>
      <c r="F37" s="7" t="s">
        <v>98</v>
      </c>
      <c r="G37" s="7" t="s">
        <v>160</v>
      </c>
      <c r="H37" s="7" t="s">
        <v>48</v>
      </c>
      <c r="I37" s="7" t="s">
        <v>49</v>
      </c>
      <c r="J37" s="7" t="s">
        <v>50</v>
      </c>
      <c r="K37" s="7" t="s">
        <v>74</v>
      </c>
    </row>
    <row r="38" spans="1:11" ht="30" customHeight="1" x14ac:dyDescent="0.25">
      <c r="A38" s="6" t="s">
        <v>203</v>
      </c>
      <c r="B38" s="6" t="s">
        <v>204</v>
      </c>
      <c r="C38" s="7" t="s">
        <v>20</v>
      </c>
      <c r="D38" s="7" t="s">
        <v>198</v>
      </c>
      <c r="E38" s="7" t="s">
        <v>81</v>
      </c>
      <c r="F38" s="7" t="s">
        <v>205</v>
      </c>
      <c r="G38" s="7" t="s">
        <v>206</v>
      </c>
      <c r="H38" s="7" t="s">
        <v>48</v>
      </c>
      <c r="I38" s="7" t="s">
        <v>49</v>
      </c>
      <c r="J38" s="7" t="s">
        <v>50</v>
      </c>
      <c r="K38" s="7" t="s">
        <v>74</v>
      </c>
    </row>
    <row r="39" spans="1:11" ht="30" customHeight="1" x14ac:dyDescent="0.25">
      <c r="A39" s="6" t="s">
        <v>207</v>
      </c>
      <c r="B39" s="6" t="s">
        <v>208</v>
      </c>
      <c r="C39" s="7" t="s">
        <v>20</v>
      </c>
      <c r="D39" s="7" t="s">
        <v>198</v>
      </c>
      <c r="E39" s="7" t="s">
        <v>81</v>
      </c>
      <c r="F39" s="7" t="s">
        <v>209</v>
      </c>
      <c r="G39" s="7" t="s">
        <v>206</v>
      </c>
      <c r="H39" s="7" t="s">
        <v>48</v>
      </c>
      <c r="I39" s="7" t="s">
        <v>49</v>
      </c>
      <c r="J39" s="7" t="s">
        <v>50</v>
      </c>
      <c r="K39" s="7" t="s">
        <v>74</v>
      </c>
    </row>
    <row r="40" spans="1:11" ht="30" customHeight="1" x14ac:dyDescent="0.25">
      <c r="A40" s="6" t="s">
        <v>210</v>
      </c>
      <c r="B40" s="6" t="s">
        <v>211</v>
      </c>
      <c r="C40" s="7" t="s">
        <v>20</v>
      </c>
      <c r="D40" s="7" t="s">
        <v>198</v>
      </c>
      <c r="E40" s="7" t="s">
        <v>81</v>
      </c>
      <c r="F40" s="7" t="s">
        <v>209</v>
      </c>
      <c r="G40" s="7" t="s">
        <v>206</v>
      </c>
      <c r="H40" s="7" t="s">
        <v>48</v>
      </c>
      <c r="I40" s="7" t="s">
        <v>49</v>
      </c>
      <c r="J40" s="7" t="s">
        <v>50</v>
      </c>
      <c r="K40" s="7" t="s">
        <v>74</v>
      </c>
    </row>
    <row r="41" spans="1:11" ht="30" customHeight="1" x14ac:dyDescent="0.25">
      <c r="A41" s="6" t="s">
        <v>212</v>
      </c>
      <c r="B41" s="6" t="s">
        <v>213</v>
      </c>
      <c r="C41" s="7" t="s">
        <v>20</v>
      </c>
      <c r="D41" s="7" t="s">
        <v>198</v>
      </c>
      <c r="E41" s="7" t="s">
        <v>81</v>
      </c>
      <c r="F41" s="7" t="s">
        <v>214</v>
      </c>
      <c r="G41" s="7" t="s">
        <v>206</v>
      </c>
      <c r="H41" s="7" t="s">
        <v>48</v>
      </c>
      <c r="I41" s="7" t="s">
        <v>49</v>
      </c>
      <c r="J41" s="7" t="s">
        <v>50</v>
      </c>
      <c r="K41" s="7" t="s">
        <v>74</v>
      </c>
    </row>
    <row r="42" spans="1:11" ht="30" customHeight="1" x14ac:dyDescent="0.25">
      <c r="A42" s="6" t="s">
        <v>215</v>
      </c>
      <c r="B42" s="6" t="s">
        <v>216</v>
      </c>
      <c r="C42" s="7" t="s">
        <v>20</v>
      </c>
      <c r="D42" s="7" t="s">
        <v>198</v>
      </c>
      <c r="E42" s="7" t="s">
        <v>81</v>
      </c>
      <c r="F42" s="7" t="s">
        <v>217</v>
      </c>
      <c r="G42" s="7" t="s">
        <v>206</v>
      </c>
      <c r="H42" s="7" t="s">
        <v>48</v>
      </c>
      <c r="I42" s="7" t="s">
        <v>49</v>
      </c>
      <c r="J42" s="7" t="s">
        <v>50</v>
      </c>
      <c r="K42" s="7" t="s">
        <v>74</v>
      </c>
    </row>
    <row r="43" spans="1:11" ht="30" customHeight="1" x14ac:dyDescent="0.25">
      <c r="A43" s="6" t="s">
        <v>218</v>
      </c>
      <c r="B43" s="6" t="s">
        <v>219</v>
      </c>
      <c r="C43" s="7" t="s">
        <v>20</v>
      </c>
      <c r="D43" s="7" t="s">
        <v>198</v>
      </c>
      <c r="E43" s="7" t="s">
        <v>81</v>
      </c>
      <c r="F43" s="7" t="s">
        <v>220</v>
      </c>
      <c r="G43" s="7" t="s">
        <v>221</v>
      </c>
      <c r="H43" s="7" t="s">
        <v>48</v>
      </c>
      <c r="I43" s="7" t="s">
        <v>49</v>
      </c>
      <c r="J43" s="7" t="s">
        <v>50</v>
      </c>
      <c r="K43" s="7" t="s">
        <v>74</v>
      </c>
    </row>
    <row r="44" spans="1:11" ht="30" customHeight="1" x14ac:dyDescent="0.25">
      <c r="A44" s="6" t="s">
        <v>222</v>
      </c>
      <c r="B44" s="6" t="s">
        <v>223</v>
      </c>
      <c r="C44" s="7" t="s">
        <v>20</v>
      </c>
      <c r="D44" s="7" t="s">
        <v>198</v>
      </c>
      <c r="E44" s="7" t="s">
        <v>81</v>
      </c>
      <c r="F44" s="7" t="s">
        <v>224</v>
      </c>
      <c r="G44" s="7" t="s">
        <v>206</v>
      </c>
      <c r="H44" s="7" t="s">
        <v>48</v>
      </c>
      <c r="I44" s="7" t="s">
        <v>109</v>
      </c>
      <c r="J44" s="7" t="s">
        <v>50</v>
      </c>
      <c r="K44" s="7" t="s">
        <v>225</v>
      </c>
    </row>
    <row r="45" spans="1:11" ht="30" customHeight="1" x14ac:dyDescent="0.25">
      <c r="A45" s="6" t="s">
        <v>226</v>
      </c>
      <c r="B45" s="6" t="s">
        <v>227</v>
      </c>
      <c r="C45" s="7" t="s">
        <v>20</v>
      </c>
      <c r="D45" s="7" t="s">
        <v>198</v>
      </c>
      <c r="E45" s="7" t="s">
        <v>81</v>
      </c>
      <c r="F45" s="7" t="s">
        <v>228</v>
      </c>
      <c r="G45" s="7" t="s">
        <v>206</v>
      </c>
      <c r="H45" s="7" t="s">
        <v>48</v>
      </c>
      <c r="I45" s="7" t="s">
        <v>49</v>
      </c>
      <c r="J45" s="7" t="s">
        <v>50</v>
      </c>
      <c r="K45" s="7" t="s">
        <v>74</v>
      </c>
    </row>
    <row r="46" spans="1:11" ht="30" customHeight="1" x14ac:dyDescent="0.25">
      <c r="A46" s="6" t="s">
        <v>229</v>
      </c>
      <c r="B46" s="6" t="s">
        <v>230</v>
      </c>
      <c r="C46" s="7" t="s">
        <v>20</v>
      </c>
      <c r="D46" s="7" t="s">
        <v>97</v>
      </c>
      <c r="E46" s="7" t="s">
        <v>81</v>
      </c>
      <c r="F46" s="7" t="s">
        <v>231</v>
      </c>
      <c r="G46" s="7" t="s">
        <v>206</v>
      </c>
      <c r="H46" s="7" t="s">
        <v>48</v>
      </c>
      <c r="I46" s="7" t="s">
        <v>49</v>
      </c>
      <c r="J46" s="7" t="s">
        <v>50</v>
      </c>
      <c r="K46" s="7" t="s">
        <v>74</v>
      </c>
    </row>
    <row r="47" spans="1:11" ht="30" customHeight="1" x14ac:dyDescent="0.25">
      <c r="A47" s="6" t="s">
        <v>232</v>
      </c>
      <c r="B47" s="6" t="s">
        <v>233</v>
      </c>
      <c r="C47" s="7" t="s">
        <v>20</v>
      </c>
      <c r="D47" s="7" t="s">
        <v>198</v>
      </c>
      <c r="E47" s="7" t="s">
        <v>81</v>
      </c>
      <c r="F47" s="7" t="s">
        <v>234</v>
      </c>
      <c r="G47" s="7" t="s">
        <v>206</v>
      </c>
      <c r="H47" s="7" t="s">
        <v>48</v>
      </c>
      <c r="I47" s="7" t="s">
        <v>49</v>
      </c>
      <c r="J47" s="7" t="s">
        <v>50</v>
      </c>
      <c r="K47" s="7" t="s">
        <v>74</v>
      </c>
    </row>
    <row r="48" spans="1:11" ht="30" customHeight="1" x14ac:dyDescent="0.25">
      <c r="A48" s="6" t="s">
        <v>235</v>
      </c>
      <c r="B48" s="6" t="s">
        <v>236</v>
      </c>
      <c r="C48" s="7" t="s">
        <v>20</v>
      </c>
      <c r="D48" s="7" t="s">
        <v>198</v>
      </c>
      <c r="E48" s="7" t="s">
        <v>81</v>
      </c>
      <c r="F48" s="7" t="s">
        <v>237</v>
      </c>
      <c r="G48" s="7" t="s">
        <v>206</v>
      </c>
      <c r="H48" s="7" t="s">
        <v>48</v>
      </c>
      <c r="I48" s="7" t="s">
        <v>49</v>
      </c>
      <c r="J48" s="7" t="s">
        <v>50</v>
      </c>
      <c r="K48" s="7" t="s">
        <v>74</v>
      </c>
    </row>
    <row r="49" spans="1:11" ht="30" customHeight="1" x14ac:dyDescent="0.25">
      <c r="A49" s="6" t="s">
        <v>238</v>
      </c>
      <c r="B49" s="6" t="s">
        <v>239</v>
      </c>
      <c r="C49" s="7" t="s">
        <v>20</v>
      </c>
      <c r="D49" s="7" t="s">
        <v>97</v>
      </c>
      <c r="E49" s="7" t="s">
        <v>81</v>
      </c>
      <c r="F49" s="7" t="s">
        <v>98</v>
      </c>
      <c r="G49" s="7" t="s">
        <v>240</v>
      </c>
      <c r="H49" s="7" t="s">
        <v>48</v>
      </c>
      <c r="I49" s="7" t="s">
        <v>49</v>
      </c>
      <c r="J49" s="7" t="s">
        <v>50</v>
      </c>
      <c r="K49" s="7" t="s">
        <v>74</v>
      </c>
    </row>
    <row r="50" spans="1:11" ht="30" customHeight="1" x14ac:dyDescent="0.25">
      <c r="A50" s="6" t="s">
        <v>241</v>
      </c>
      <c r="B50" s="6" t="s">
        <v>242</v>
      </c>
      <c r="C50" s="7" t="s">
        <v>20</v>
      </c>
      <c r="D50" s="7" t="s">
        <v>198</v>
      </c>
      <c r="E50" s="7" t="s">
        <v>81</v>
      </c>
      <c r="F50" s="7" t="s">
        <v>243</v>
      </c>
      <c r="G50" s="7" t="s">
        <v>244</v>
      </c>
      <c r="H50" s="7" t="s">
        <v>48</v>
      </c>
      <c r="I50" s="7" t="s">
        <v>109</v>
      </c>
      <c r="J50" s="7" t="s">
        <v>50</v>
      </c>
      <c r="K50" s="7" t="s">
        <v>245</v>
      </c>
    </row>
    <row r="51" spans="1:11" ht="30" customHeight="1" x14ac:dyDescent="0.25">
      <c r="A51" s="6" t="s">
        <v>246</v>
      </c>
      <c r="B51" s="6" t="s">
        <v>247</v>
      </c>
      <c r="C51" s="7" t="s">
        <v>18</v>
      </c>
      <c r="D51" s="7" t="s">
        <v>63</v>
      </c>
      <c r="E51" s="7" t="s">
        <v>248</v>
      </c>
      <c r="F51" s="7" t="s">
        <v>249</v>
      </c>
      <c r="G51" s="7" t="s">
        <v>250</v>
      </c>
      <c r="H51" s="7" t="s">
        <v>48</v>
      </c>
      <c r="I51" s="7" t="s">
        <v>49</v>
      </c>
      <c r="J51" s="7" t="s">
        <v>50</v>
      </c>
      <c r="K51" s="7" t="s">
        <v>251</v>
      </c>
    </row>
    <row r="52" spans="1:11" ht="30" customHeight="1" x14ac:dyDescent="0.25">
      <c r="A52" s="6" t="s">
        <v>252</v>
      </c>
      <c r="B52" s="6" t="s">
        <v>253</v>
      </c>
      <c r="C52" s="7" t="s">
        <v>19</v>
      </c>
      <c r="D52" s="7" t="s">
        <v>63</v>
      </c>
      <c r="E52" s="7" t="s">
        <v>55</v>
      </c>
      <c r="F52" s="7" t="s">
        <v>249</v>
      </c>
      <c r="G52" s="7" t="s">
        <v>254</v>
      </c>
      <c r="H52" s="7" t="s">
        <v>48</v>
      </c>
      <c r="I52" s="7" t="s">
        <v>49</v>
      </c>
      <c r="J52" s="7" t="s">
        <v>50</v>
      </c>
      <c r="K52" s="7"/>
    </row>
    <row r="53" spans="1:11" ht="30" customHeight="1" x14ac:dyDescent="0.25">
      <c r="A53" s="6" t="s">
        <v>255</v>
      </c>
      <c r="B53" s="6" t="s">
        <v>256</v>
      </c>
      <c r="C53" s="7" t="s">
        <v>19</v>
      </c>
      <c r="D53" s="7" t="s">
        <v>63</v>
      </c>
      <c r="E53" s="7" t="s">
        <v>145</v>
      </c>
      <c r="F53" s="7" t="s">
        <v>249</v>
      </c>
      <c r="G53" s="7" t="s">
        <v>257</v>
      </c>
      <c r="H53" s="7" t="s">
        <v>66</v>
      </c>
      <c r="I53" s="7" t="s">
        <v>58</v>
      </c>
      <c r="J53" s="7" t="s">
        <v>50</v>
      </c>
      <c r="K53" s="7" t="s">
        <v>258</v>
      </c>
    </row>
    <row r="54" spans="1:11" ht="30" customHeight="1" x14ac:dyDescent="0.25">
      <c r="A54" s="6" t="s">
        <v>259</v>
      </c>
      <c r="B54" s="6" t="s">
        <v>260</v>
      </c>
      <c r="C54" s="7" t="s">
        <v>155</v>
      </c>
      <c r="D54" s="7" t="s">
        <v>63</v>
      </c>
      <c r="E54" s="7" t="s">
        <v>261</v>
      </c>
      <c r="F54" s="7" t="s">
        <v>249</v>
      </c>
      <c r="G54" s="7" t="s">
        <v>262</v>
      </c>
      <c r="H54" s="7" t="s">
        <v>48</v>
      </c>
      <c r="I54" s="7" t="s">
        <v>49</v>
      </c>
      <c r="J54" s="7" t="s">
        <v>50</v>
      </c>
      <c r="K54" s="7" t="s">
        <v>263</v>
      </c>
    </row>
    <row r="55" spans="1:11" ht="30" customHeight="1" x14ac:dyDescent="0.25">
      <c r="A55" s="6" t="s">
        <v>264</v>
      </c>
      <c r="B55" s="6" t="s">
        <v>265</v>
      </c>
      <c r="C55" s="7" t="s">
        <v>19</v>
      </c>
      <c r="D55" s="7" t="s">
        <v>63</v>
      </c>
      <c r="E55" s="7" t="s">
        <v>55</v>
      </c>
      <c r="F55" s="7" t="s">
        <v>266</v>
      </c>
      <c r="G55" s="7" t="s">
        <v>267</v>
      </c>
      <c r="H55" s="7" t="s">
        <v>48</v>
      </c>
      <c r="I55" s="7" t="s">
        <v>49</v>
      </c>
      <c r="J55" s="7" t="s">
        <v>50</v>
      </c>
      <c r="K55" s="7" t="s">
        <v>268</v>
      </c>
    </row>
    <row r="56" spans="1:11" ht="30" customHeight="1" x14ac:dyDescent="0.25">
      <c r="A56" s="6" t="s">
        <v>269</v>
      </c>
      <c r="B56" s="6" t="s">
        <v>270</v>
      </c>
      <c r="C56" s="7" t="s">
        <v>19</v>
      </c>
      <c r="D56" s="7" t="s">
        <v>63</v>
      </c>
      <c r="E56" s="7" t="s">
        <v>271</v>
      </c>
      <c r="F56" s="7" t="s">
        <v>272</v>
      </c>
      <c r="G56" s="7" t="s">
        <v>273</v>
      </c>
      <c r="H56" s="7" t="s">
        <v>48</v>
      </c>
      <c r="I56" s="7" t="s">
        <v>109</v>
      </c>
      <c r="J56" s="7" t="s">
        <v>50</v>
      </c>
      <c r="K56" s="7" t="s">
        <v>274</v>
      </c>
    </row>
    <row r="57" spans="1:11" ht="30" customHeight="1" x14ac:dyDescent="0.25">
      <c r="A57" s="6" t="s">
        <v>275</v>
      </c>
      <c r="B57" s="6" t="s">
        <v>276</v>
      </c>
      <c r="C57" s="7" t="s">
        <v>19</v>
      </c>
      <c r="D57" s="7" t="s">
        <v>63</v>
      </c>
      <c r="E57" s="7" t="s">
        <v>271</v>
      </c>
      <c r="F57" s="7" t="s">
        <v>277</v>
      </c>
      <c r="G57" s="7" t="s">
        <v>273</v>
      </c>
      <c r="H57" s="7" t="s">
        <v>48</v>
      </c>
      <c r="I57" s="7" t="s">
        <v>109</v>
      </c>
      <c r="J57" s="7" t="s">
        <v>50</v>
      </c>
      <c r="K57" s="7" t="s">
        <v>278</v>
      </c>
    </row>
    <row r="58" spans="1:11" ht="30" customHeight="1" x14ac:dyDescent="0.25">
      <c r="A58" s="6" t="s">
        <v>279</v>
      </c>
      <c r="B58" s="6" t="s">
        <v>280</v>
      </c>
      <c r="C58" s="7" t="s">
        <v>62</v>
      </c>
      <c r="D58" s="7" t="s">
        <v>63</v>
      </c>
      <c r="E58" s="7" t="s">
        <v>281</v>
      </c>
      <c r="F58" s="7" t="s">
        <v>249</v>
      </c>
      <c r="G58" s="7" t="s">
        <v>282</v>
      </c>
      <c r="H58" s="7" t="s">
        <v>66</v>
      </c>
      <c r="I58" s="7" t="s">
        <v>49</v>
      </c>
      <c r="J58" s="7" t="s">
        <v>50</v>
      </c>
      <c r="K58" s="7" t="s">
        <v>283</v>
      </c>
    </row>
    <row r="59" spans="1:11" ht="30" customHeight="1" x14ac:dyDescent="0.25">
      <c r="A59" s="6" t="s">
        <v>284</v>
      </c>
      <c r="B59" s="6" t="s">
        <v>285</v>
      </c>
      <c r="C59" s="7" t="s">
        <v>18</v>
      </c>
      <c r="D59" s="7" t="s">
        <v>63</v>
      </c>
      <c r="E59" s="7" t="s">
        <v>55</v>
      </c>
      <c r="F59" s="7" t="s">
        <v>286</v>
      </c>
      <c r="G59" s="7" t="s">
        <v>287</v>
      </c>
      <c r="H59" s="7" t="s">
        <v>66</v>
      </c>
      <c r="I59" s="7" t="s">
        <v>49</v>
      </c>
      <c r="J59" s="7" t="s">
        <v>50</v>
      </c>
      <c r="K59" s="7" t="s">
        <v>288</v>
      </c>
    </row>
    <row r="60" spans="1:11" ht="30" customHeight="1" x14ac:dyDescent="0.25">
      <c r="A60" s="6" t="s">
        <v>289</v>
      </c>
      <c r="B60" s="6" t="s">
        <v>290</v>
      </c>
      <c r="C60" s="7" t="s">
        <v>18</v>
      </c>
      <c r="D60" s="7" t="s">
        <v>63</v>
      </c>
      <c r="E60" s="7" t="s">
        <v>91</v>
      </c>
      <c r="F60" s="7" t="s">
        <v>249</v>
      </c>
      <c r="G60" s="7" t="s">
        <v>291</v>
      </c>
      <c r="H60" s="7" t="s">
        <v>66</v>
      </c>
      <c r="I60" s="7" t="s">
        <v>67</v>
      </c>
      <c r="J60" s="7" t="s">
        <v>50</v>
      </c>
      <c r="K60" s="7" t="s">
        <v>283</v>
      </c>
    </row>
    <row r="61" spans="1:11" ht="30" customHeight="1" x14ac:dyDescent="0.25">
      <c r="A61" s="6" t="s">
        <v>292</v>
      </c>
      <c r="B61" s="6" t="s">
        <v>293</v>
      </c>
      <c r="C61" s="7" t="s">
        <v>18</v>
      </c>
      <c r="D61" s="7" t="s">
        <v>54</v>
      </c>
      <c r="E61" s="7" t="s">
        <v>55</v>
      </c>
      <c r="F61" s="7" t="s">
        <v>294</v>
      </c>
      <c r="G61" s="7" t="s">
        <v>295</v>
      </c>
      <c r="H61" s="7" t="s">
        <v>66</v>
      </c>
      <c r="I61" s="7" t="s">
        <v>49</v>
      </c>
      <c r="J61" s="7" t="s">
        <v>50</v>
      </c>
      <c r="K61" s="7" t="s">
        <v>296</v>
      </c>
    </row>
    <row r="62" spans="1:11" ht="30" customHeight="1" x14ac:dyDescent="0.25">
      <c r="A62" s="6" t="s">
        <v>297</v>
      </c>
      <c r="B62" s="6" t="s">
        <v>298</v>
      </c>
      <c r="C62" s="7" t="s">
        <v>18</v>
      </c>
      <c r="D62" s="7" t="s">
        <v>63</v>
      </c>
      <c r="E62" s="7" t="s">
        <v>91</v>
      </c>
      <c r="F62" s="7" t="s">
        <v>249</v>
      </c>
      <c r="G62" s="7" t="s">
        <v>299</v>
      </c>
      <c r="H62" s="7" t="s">
        <v>66</v>
      </c>
      <c r="I62" s="7" t="s">
        <v>67</v>
      </c>
      <c r="J62" s="7" t="s">
        <v>50</v>
      </c>
      <c r="K62" s="7"/>
    </row>
    <row r="63" spans="1:11" ht="30" customHeight="1" x14ac:dyDescent="0.25">
      <c r="A63" s="6" t="s">
        <v>300</v>
      </c>
      <c r="B63" s="6" t="s">
        <v>301</v>
      </c>
      <c r="C63" s="7" t="s">
        <v>18</v>
      </c>
      <c r="D63" s="7" t="s">
        <v>63</v>
      </c>
      <c r="E63" s="7" t="s">
        <v>91</v>
      </c>
      <c r="F63" s="7" t="s">
        <v>249</v>
      </c>
      <c r="G63" s="7" t="s">
        <v>302</v>
      </c>
      <c r="H63" s="7" t="s">
        <v>66</v>
      </c>
      <c r="I63" s="7" t="s">
        <v>49</v>
      </c>
      <c r="J63" s="7" t="s">
        <v>50</v>
      </c>
      <c r="K63" s="7" t="s">
        <v>303</v>
      </c>
    </row>
    <row r="64" spans="1:11" ht="30" customHeight="1" x14ac:dyDescent="0.25">
      <c r="A64" s="6" t="s">
        <v>304</v>
      </c>
      <c r="B64" s="6" t="s">
        <v>305</v>
      </c>
      <c r="C64" s="7" t="s">
        <v>19</v>
      </c>
      <c r="D64" s="7" t="s">
        <v>63</v>
      </c>
      <c r="E64" s="7" t="s">
        <v>55</v>
      </c>
      <c r="F64" s="7" t="s">
        <v>306</v>
      </c>
      <c r="G64" s="7" t="s">
        <v>307</v>
      </c>
      <c r="H64" s="7" t="s">
        <v>66</v>
      </c>
      <c r="I64" s="7" t="s">
        <v>49</v>
      </c>
      <c r="J64" s="7" t="s">
        <v>50</v>
      </c>
      <c r="K64" s="7" t="s">
        <v>308</v>
      </c>
    </row>
    <row r="65" spans="1:11" ht="30" customHeight="1" x14ac:dyDescent="0.25">
      <c r="A65" s="6" t="s">
        <v>309</v>
      </c>
      <c r="B65" s="6" t="s">
        <v>310</v>
      </c>
      <c r="C65" s="7" t="s">
        <v>21</v>
      </c>
      <c r="D65" s="7" t="s">
        <v>54</v>
      </c>
      <c r="E65" s="7" t="s">
        <v>77</v>
      </c>
      <c r="F65" s="7" t="s">
        <v>178</v>
      </c>
      <c r="G65" s="7" t="s">
        <v>311</v>
      </c>
      <c r="H65" s="7" t="s">
        <v>48</v>
      </c>
      <c r="I65" s="7" t="s">
        <v>49</v>
      </c>
      <c r="J65" s="7" t="s">
        <v>50</v>
      </c>
      <c r="K65" s="7" t="s">
        <v>312</v>
      </c>
    </row>
    <row r="66" spans="1:11" ht="30" customHeight="1" x14ac:dyDescent="0.25">
      <c r="A66" s="6" t="s">
        <v>313</v>
      </c>
      <c r="B66" s="6" t="s">
        <v>314</v>
      </c>
      <c r="C66" s="7" t="s">
        <v>21</v>
      </c>
      <c r="D66" s="7" t="s">
        <v>54</v>
      </c>
      <c r="E66" s="7" t="s">
        <v>81</v>
      </c>
      <c r="F66" s="7" t="s">
        <v>315</v>
      </c>
      <c r="G66" s="7" t="s">
        <v>316</v>
      </c>
      <c r="H66" s="7" t="s">
        <v>48</v>
      </c>
      <c r="I66" s="7" t="s">
        <v>49</v>
      </c>
      <c r="J66" s="7" t="s">
        <v>50</v>
      </c>
      <c r="K66" s="7" t="s">
        <v>68</v>
      </c>
    </row>
    <row r="67" spans="1:11" ht="30" customHeight="1" x14ac:dyDescent="0.25">
      <c r="A67" s="6" t="s">
        <v>317</v>
      </c>
      <c r="B67" s="6" t="s">
        <v>318</v>
      </c>
      <c r="C67" s="7" t="s">
        <v>19</v>
      </c>
      <c r="D67" s="7" t="s">
        <v>54</v>
      </c>
      <c r="E67" s="7" t="s">
        <v>55</v>
      </c>
      <c r="F67" s="7" t="s">
        <v>319</v>
      </c>
      <c r="G67" s="7" t="s">
        <v>320</v>
      </c>
      <c r="H67" s="7" t="s">
        <v>66</v>
      </c>
      <c r="I67" s="7" t="s">
        <v>49</v>
      </c>
      <c r="J67" s="7" t="s">
        <v>50</v>
      </c>
      <c r="K67" s="7" t="s">
        <v>321</v>
      </c>
    </row>
    <row r="68" spans="1:11" ht="30" customHeight="1" x14ac:dyDescent="0.25">
      <c r="A68" s="6" t="s">
        <v>322</v>
      </c>
      <c r="B68" s="6" t="s">
        <v>323</v>
      </c>
      <c r="C68" s="7" t="s">
        <v>22</v>
      </c>
      <c r="D68" s="7" t="s">
        <v>198</v>
      </c>
      <c r="E68" s="7" t="s">
        <v>185</v>
      </c>
      <c r="F68" s="7" t="s">
        <v>324</v>
      </c>
      <c r="G68" s="7" t="s">
        <v>325</v>
      </c>
      <c r="H68" s="7" t="s">
        <v>66</v>
      </c>
      <c r="I68" s="7" t="s">
        <v>67</v>
      </c>
      <c r="J68" s="7" t="s">
        <v>50</v>
      </c>
      <c r="K68" s="7" t="s">
        <v>283</v>
      </c>
    </row>
    <row r="69" spans="1:11" ht="30" customHeight="1" x14ac:dyDescent="0.25">
      <c r="A69" s="6" t="s">
        <v>326</v>
      </c>
      <c r="B69" s="6" t="s">
        <v>327</v>
      </c>
      <c r="C69" s="7" t="s">
        <v>18</v>
      </c>
      <c r="D69" s="7" t="s">
        <v>63</v>
      </c>
      <c r="E69" s="7" t="s">
        <v>91</v>
      </c>
      <c r="F69" s="7" t="s">
        <v>328</v>
      </c>
      <c r="G69" s="7" t="s">
        <v>329</v>
      </c>
      <c r="H69" s="7" t="s">
        <v>66</v>
      </c>
      <c r="I69" s="7" t="s">
        <v>67</v>
      </c>
      <c r="J69" s="7" t="s">
        <v>50</v>
      </c>
      <c r="K69" s="7" t="s">
        <v>330</v>
      </c>
    </row>
    <row r="70" spans="1:11" ht="30" customHeight="1" x14ac:dyDescent="0.25">
      <c r="A70" s="6" t="s">
        <v>331</v>
      </c>
      <c r="B70" s="6" t="s">
        <v>332</v>
      </c>
      <c r="C70" s="7" t="s">
        <v>21</v>
      </c>
      <c r="D70" s="7" t="s">
        <v>54</v>
      </c>
      <c r="E70" s="7" t="s">
        <v>85</v>
      </c>
      <c r="F70" s="7" t="s">
        <v>178</v>
      </c>
      <c r="G70" s="7" t="s">
        <v>333</v>
      </c>
      <c r="H70" s="7" t="s">
        <v>48</v>
      </c>
      <c r="I70" s="7" t="s">
        <v>58</v>
      </c>
      <c r="J70" s="7" t="s">
        <v>50</v>
      </c>
      <c r="K70" s="7" t="s">
        <v>334</v>
      </c>
    </row>
    <row r="71" spans="1:11" ht="30" customHeight="1" x14ac:dyDescent="0.25">
      <c r="A71" s="6" t="s">
        <v>335</v>
      </c>
      <c r="B71" s="6" t="s">
        <v>336</v>
      </c>
      <c r="C71" s="7" t="s">
        <v>18</v>
      </c>
      <c r="D71" s="7" t="s">
        <v>54</v>
      </c>
      <c r="E71" s="7" t="s">
        <v>91</v>
      </c>
      <c r="F71" s="7" t="s">
        <v>337</v>
      </c>
      <c r="G71" s="7" t="s">
        <v>338</v>
      </c>
      <c r="H71" s="7" t="s">
        <v>66</v>
      </c>
      <c r="I71" s="7" t="s">
        <v>49</v>
      </c>
      <c r="J71" s="7" t="s">
        <v>50</v>
      </c>
      <c r="K71" s="7" t="s">
        <v>339</v>
      </c>
    </row>
    <row r="72" spans="1:11" ht="30" customHeight="1" x14ac:dyDescent="0.25">
      <c r="A72" s="6" t="s">
        <v>340</v>
      </c>
      <c r="B72" s="6" t="s">
        <v>341</v>
      </c>
      <c r="C72" s="7" t="s">
        <v>19</v>
      </c>
      <c r="D72" s="7" t="s">
        <v>63</v>
      </c>
      <c r="E72" s="7" t="s">
        <v>55</v>
      </c>
      <c r="F72" s="7" t="s">
        <v>342</v>
      </c>
      <c r="G72" s="7" t="s">
        <v>343</v>
      </c>
      <c r="H72" s="7" t="s">
        <v>66</v>
      </c>
      <c r="I72" s="7" t="s">
        <v>49</v>
      </c>
      <c r="J72" s="7" t="s">
        <v>50</v>
      </c>
      <c r="K72" s="7" t="s">
        <v>344</v>
      </c>
    </row>
    <row r="73" spans="1:11" ht="30" customHeight="1" x14ac:dyDescent="0.25">
      <c r="A73" s="6" t="s">
        <v>345</v>
      </c>
      <c r="B73" s="6" t="s">
        <v>346</v>
      </c>
      <c r="C73" s="7" t="s">
        <v>19</v>
      </c>
      <c r="D73" s="7" t="s">
        <v>63</v>
      </c>
      <c r="E73" s="7" t="s">
        <v>55</v>
      </c>
      <c r="F73" s="7" t="s">
        <v>56</v>
      </c>
      <c r="G73" s="7" t="s">
        <v>347</v>
      </c>
      <c r="H73" s="7" t="s">
        <v>66</v>
      </c>
      <c r="I73" s="7" t="s">
        <v>67</v>
      </c>
      <c r="J73" s="7" t="s">
        <v>50</v>
      </c>
      <c r="K73" s="7" t="s">
        <v>348</v>
      </c>
    </row>
    <row r="74" spans="1:11" ht="30" customHeight="1" x14ac:dyDescent="0.25">
      <c r="A74" s="6" t="s">
        <v>349</v>
      </c>
      <c r="B74" s="6" t="s">
        <v>350</v>
      </c>
      <c r="C74" s="7" t="s">
        <v>22</v>
      </c>
      <c r="D74" s="7" t="s">
        <v>97</v>
      </c>
      <c r="E74" s="7" t="s">
        <v>351</v>
      </c>
      <c r="F74" s="7" t="s">
        <v>352</v>
      </c>
      <c r="G74" s="7" t="s">
        <v>200</v>
      </c>
      <c r="H74" s="7" t="s">
        <v>66</v>
      </c>
      <c r="I74" s="7" t="s">
        <v>67</v>
      </c>
      <c r="J74" s="7" t="s">
        <v>50</v>
      </c>
      <c r="K74" s="7" t="s">
        <v>353</v>
      </c>
    </row>
    <row r="75" spans="1:11" ht="30" customHeight="1" x14ac:dyDescent="0.25">
      <c r="A75" s="6" t="s">
        <v>354</v>
      </c>
      <c r="B75" s="6" t="s">
        <v>355</v>
      </c>
      <c r="C75" s="7" t="s">
        <v>18</v>
      </c>
      <c r="D75" s="7" t="s">
        <v>63</v>
      </c>
      <c r="E75" s="7" t="s">
        <v>55</v>
      </c>
      <c r="F75" s="7" t="s">
        <v>249</v>
      </c>
      <c r="G75" s="7" t="s">
        <v>356</v>
      </c>
      <c r="H75" s="7" t="s">
        <v>66</v>
      </c>
      <c r="I75" s="7" t="s">
        <v>67</v>
      </c>
      <c r="J75" s="7" t="s">
        <v>50</v>
      </c>
      <c r="K75" s="7"/>
    </row>
    <row r="76" spans="1:11" ht="30" customHeight="1" x14ac:dyDescent="0.25">
      <c r="A76" s="6" t="s">
        <v>357</v>
      </c>
      <c r="B76" s="6" t="s">
        <v>358</v>
      </c>
      <c r="C76" s="7" t="s">
        <v>359</v>
      </c>
      <c r="D76" s="7" t="s">
        <v>63</v>
      </c>
      <c r="E76" s="7" t="s">
        <v>45</v>
      </c>
      <c r="F76" s="7" t="s">
        <v>249</v>
      </c>
      <c r="G76" s="7" t="s">
        <v>360</v>
      </c>
      <c r="H76" s="7" t="s">
        <v>126</v>
      </c>
      <c r="I76" s="7" t="s">
        <v>67</v>
      </c>
      <c r="J76" s="7" t="s">
        <v>50</v>
      </c>
      <c r="K76" s="7" t="s">
        <v>283</v>
      </c>
    </row>
    <row r="77" spans="1:11" ht="30" customHeight="1" x14ac:dyDescent="0.25">
      <c r="A77" s="6" t="s">
        <v>361</v>
      </c>
      <c r="B77" s="6" t="s">
        <v>362</v>
      </c>
      <c r="C77" s="7" t="s">
        <v>363</v>
      </c>
      <c r="D77" s="7" t="s">
        <v>364</v>
      </c>
      <c r="E77" s="7" t="s">
        <v>365</v>
      </c>
      <c r="F77" s="7" t="s">
        <v>249</v>
      </c>
      <c r="G77" s="7" t="s">
        <v>366</v>
      </c>
      <c r="H77" s="7" t="s">
        <v>48</v>
      </c>
      <c r="I77" s="7" t="s">
        <v>49</v>
      </c>
      <c r="J77" s="7" t="s">
        <v>50</v>
      </c>
      <c r="K77" s="7" t="s">
        <v>367</v>
      </c>
    </row>
    <row r="78" spans="1:11" ht="30" customHeight="1" x14ac:dyDescent="0.25">
      <c r="A78" s="6" t="s">
        <v>368</v>
      </c>
      <c r="B78" s="6" t="s">
        <v>369</v>
      </c>
      <c r="C78" s="7" t="s">
        <v>363</v>
      </c>
      <c r="D78" s="7" t="s">
        <v>364</v>
      </c>
      <c r="E78" s="7" t="s">
        <v>365</v>
      </c>
      <c r="F78" s="7" t="s">
        <v>249</v>
      </c>
      <c r="G78" s="7" t="s">
        <v>370</v>
      </c>
      <c r="H78" s="7" t="s">
        <v>48</v>
      </c>
      <c r="I78" s="7" t="s">
        <v>49</v>
      </c>
      <c r="J78" s="7" t="s">
        <v>50</v>
      </c>
      <c r="K78" s="7" t="s">
        <v>348</v>
      </c>
    </row>
    <row r="79" spans="1:11" ht="30" customHeight="1" x14ac:dyDescent="0.25">
      <c r="A79" s="6" t="s">
        <v>371</v>
      </c>
      <c r="B79" s="6" t="s">
        <v>372</v>
      </c>
      <c r="C79" s="7" t="s">
        <v>62</v>
      </c>
      <c r="D79" s="7" t="s">
        <v>63</v>
      </c>
      <c r="E79" s="7" t="s">
        <v>373</v>
      </c>
      <c r="F79" s="7" t="s">
        <v>56</v>
      </c>
      <c r="G79" s="7" t="s">
        <v>347</v>
      </c>
      <c r="H79" s="7" t="s">
        <v>66</v>
      </c>
      <c r="I79" s="7" t="s">
        <v>67</v>
      </c>
      <c r="J79" s="7" t="s">
        <v>50</v>
      </c>
      <c r="K79" s="7" t="s">
        <v>374</v>
      </c>
    </row>
    <row r="80" spans="1:11" ht="30" customHeight="1" x14ac:dyDescent="0.25">
      <c r="A80" s="6" t="s">
        <v>375</v>
      </c>
      <c r="B80" s="6" t="s">
        <v>376</v>
      </c>
      <c r="C80" s="7" t="s">
        <v>20</v>
      </c>
      <c r="D80" s="7" t="s">
        <v>97</v>
      </c>
      <c r="E80" s="7" t="s">
        <v>81</v>
      </c>
      <c r="F80" s="7" t="s">
        <v>98</v>
      </c>
      <c r="G80" s="7" t="s">
        <v>377</v>
      </c>
      <c r="H80" s="7" t="s">
        <v>48</v>
      </c>
      <c r="I80" s="7" t="s">
        <v>49</v>
      </c>
      <c r="J80" s="7" t="s">
        <v>50</v>
      </c>
      <c r="K80" s="7" t="s">
        <v>378</v>
      </c>
    </row>
    <row r="81" spans="1:11" ht="30" customHeight="1" x14ac:dyDescent="0.25">
      <c r="A81" s="6" t="s">
        <v>379</v>
      </c>
      <c r="B81" s="6" t="s">
        <v>380</v>
      </c>
      <c r="C81" s="7" t="s">
        <v>381</v>
      </c>
      <c r="D81" s="7" t="s">
        <v>63</v>
      </c>
      <c r="E81" s="7" t="s">
        <v>163</v>
      </c>
      <c r="F81" s="7" t="s">
        <v>382</v>
      </c>
      <c r="G81" s="7" t="s">
        <v>383</v>
      </c>
      <c r="H81" s="7" t="s">
        <v>48</v>
      </c>
      <c r="I81" s="7" t="s">
        <v>49</v>
      </c>
      <c r="J81" s="7" t="s">
        <v>50</v>
      </c>
      <c r="K81" s="7" t="s">
        <v>384</v>
      </c>
    </row>
    <row r="82" spans="1:11" ht="30" customHeight="1" x14ac:dyDescent="0.25">
      <c r="A82" s="6" t="s">
        <v>385</v>
      </c>
      <c r="B82" s="6" t="s">
        <v>386</v>
      </c>
      <c r="C82" s="7" t="s">
        <v>381</v>
      </c>
      <c r="D82" s="7" t="s">
        <v>63</v>
      </c>
      <c r="E82" s="7" t="s">
        <v>163</v>
      </c>
      <c r="F82" s="7" t="s">
        <v>387</v>
      </c>
      <c r="G82" s="7" t="s">
        <v>388</v>
      </c>
      <c r="H82" s="7" t="s">
        <v>48</v>
      </c>
      <c r="I82" s="7" t="s">
        <v>49</v>
      </c>
      <c r="J82" s="7" t="s">
        <v>50</v>
      </c>
      <c r="K82" s="7" t="s">
        <v>389</v>
      </c>
    </row>
    <row r="83" spans="1:11" ht="30" customHeight="1" x14ac:dyDescent="0.25">
      <c r="A83" s="6" t="s">
        <v>390</v>
      </c>
      <c r="B83" s="6" t="s">
        <v>391</v>
      </c>
      <c r="C83" s="7" t="s">
        <v>392</v>
      </c>
      <c r="D83" s="7" t="s">
        <v>63</v>
      </c>
      <c r="E83" s="7" t="s">
        <v>393</v>
      </c>
      <c r="F83" s="7" t="s">
        <v>249</v>
      </c>
      <c r="G83" s="7" t="s">
        <v>394</v>
      </c>
      <c r="H83" s="7" t="s">
        <v>48</v>
      </c>
      <c r="I83" s="7" t="s">
        <v>49</v>
      </c>
      <c r="J83" s="7" t="s">
        <v>50</v>
      </c>
      <c r="K83" s="7" t="s">
        <v>395</v>
      </c>
    </row>
    <row r="84" spans="1:11" ht="30" customHeight="1" x14ac:dyDescent="0.25">
      <c r="A84" s="6" t="s">
        <v>396</v>
      </c>
      <c r="B84" s="6" t="s">
        <v>397</v>
      </c>
      <c r="C84" s="7" t="s">
        <v>392</v>
      </c>
      <c r="D84" s="7" t="s">
        <v>63</v>
      </c>
      <c r="E84" s="7" t="s">
        <v>393</v>
      </c>
      <c r="F84" s="7" t="s">
        <v>249</v>
      </c>
      <c r="G84" s="7" t="s">
        <v>398</v>
      </c>
      <c r="H84" s="7" t="s">
        <v>48</v>
      </c>
      <c r="I84" s="7" t="s">
        <v>49</v>
      </c>
      <c r="J84" s="7" t="s">
        <v>50</v>
      </c>
      <c r="K84" s="7" t="s">
        <v>399</v>
      </c>
    </row>
    <row r="85" spans="1:11" ht="30" customHeight="1" x14ac:dyDescent="0.25">
      <c r="A85" s="6" t="s">
        <v>400</v>
      </c>
      <c r="B85" s="6" t="s">
        <v>401</v>
      </c>
      <c r="C85" s="7" t="s">
        <v>392</v>
      </c>
      <c r="D85" s="7" t="s">
        <v>63</v>
      </c>
      <c r="E85" s="7" t="s">
        <v>402</v>
      </c>
      <c r="F85" s="7" t="s">
        <v>249</v>
      </c>
      <c r="G85" s="7" t="s">
        <v>403</v>
      </c>
      <c r="H85" s="7" t="s">
        <v>48</v>
      </c>
      <c r="I85" s="7" t="s">
        <v>49</v>
      </c>
      <c r="J85" s="7" t="s">
        <v>50</v>
      </c>
      <c r="K85" s="7" t="s">
        <v>404</v>
      </c>
    </row>
    <row r="86" spans="1:11" ht="30" customHeight="1" x14ac:dyDescent="0.25">
      <c r="A86" s="6" t="s">
        <v>405</v>
      </c>
      <c r="B86" s="6" t="s">
        <v>406</v>
      </c>
      <c r="C86" s="7" t="s">
        <v>392</v>
      </c>
      <c r="D86" s="7" t="s">
        <v>63</v>
      </c>
      <c r="E86" s="7" t="s">
        <v>402</v>
      </c>
      <c r="F86" s="7" t="s">
        <v>249</v>
      </c>
      <c r="G86" s="7" t="s">
        <v>407</v>
      </c>
      <c r="H86" s="7" t="s">
        <v>48</v>
      </c>
      <c r="I86" s="7" t="s">
        <v>49</v>
      </c>
      <c r="J86" s="7" t="s">
        <v>50</v>
      </c>
      <c r="K86" s="7" t="s">
        <v>408</v>
      </c>
    </row>
    <row r="87" spans="1:11" ht="30" customHeight="1" x14ac:dyDescent="0.25">
      <c r="A87" s="6" t="s">
        <v>409</v>
      </c>
      <c r="B87" s="6" t="s">
        <v>410</v>
      </c>
      <c r="C87" s="7" t="s">
        <v>392</v>
      </c>
      <c r="D87" s="7" t="s">
        <v>63</v>
      </c>
      <c r="E87" s="7" t="s">
        <v>393</v>
      </c>
      <c r="F87" s="7" t="s">
        <v>249</v>
      </c>
      <c r="G87" s="7" t="s">
        <v>411</v>
      </c>
      <c r="H87" s="7" t="s">
        <v>48</v>
      </c>
      <c r="I87" s="7" t="s">
        <v>49</v>
      </c>
      <c r="J87" s="7" t="s">
        <v>50</v>
      </c>
      <c r="K87" s="7" t="s">
        <v>412</v>
      </c>
    </row>
    <row r="88" spans="1:11" ht="30" customHeight="1" x14ac:dyDescent="0.25">
      <c r="A88" s="6" t="s">
        <v>413</v>
      </c>
      <c r="B88" s="6" t="s">
        <v>414</v>
      </c>
      <c r="C88" s="7" t="s">
        <v>19</v>
      </c>
      <c r="D88" s="7" t="s">
        <v>63</v>
      </c>
      <c r="E88" s="7" t="s">
        <v>55</v>
      </c>
      <c r="F88" s="7" t="s">
        <v>113</v>
      </c>
      <c r="G88" s="7" t="s">
        <v>415</v>
      </c>
      <c r="H88" s="7" t="s">
        <v>48</v>
      </c>
      <c r="I88" s="7" t="s">
        <v>49</v>
      </c>
      <c r="J88" s="7" t="s">
        <v>50</v>
      </c>
      <c r="K88" s="7" t="s">
        <v>416</v>
      </c>
    </row>
    <row r="89" spans="1:11" ht="30" customHeight="1" x14ac:dyDescent="0.25">
      <c r="A89" s="6" t="s">
        <v>417</v>
      </c>
      <c r="B89" s="6" t="s">
        <v>418</v>
      </c>
      <c r="C89" s="7" t="s">
        <v>18</v>
      </c>
      <c r="D89" s="7" t="s">
        <v>63</v>
      </c>
      <c r="E89" s="7" t="s">
        <v>91</v>
      </c>
      <c r="F89" s="7" t="s">
        <v>113</v>
      </c>
      <c r="G89" s="7" t="s">
        <v>419</v>
      </c>
      <c r="H89" s="7" t="s">
        <v>48</v>
      </c>
      <c r="I89" s="7" t="s">
        <v>49</v>
      </c>
      <c r="J89" s="7" t="s">
        <v>50</v>
      </c>
      <c r="K89" s="7" t="s">
        <v>420</v>
      </c>
    </row>
    <row r="90" spans="1:11" ht="30" customHeight="1" x14ac:dyDescent="0.25">
      <c r="A90" s="6" t="s">
        <v>421</v>
      </c>
      <c r="B90" s="6" t="s">
        <v>422</v>
      </c>
      <c r="C90" s="7" t="s">
        <v>62</v>
      </c>
      <c r="D90" s="7" t="s">
        <v>63</v>
      </c>
      <c r="E90" s="7" t="s">
        <v>55</v>
      </c>
      <c r="F90" s="7" t="s">
        <v>113</v>
      </c>
      <c r="G90" s="7" t="s">
        <v>423</v>
      </c>
      <c r="H90" s="7" t="s">
        <v>48</v>
      </c>
      <c r="I90" s="7" t="s">
        <v>49</v>
      </c>
      <c r="J90" s="7" t="s">
        <v>50</v>
      </c>
      <c r="K90" s="7" t="s">
        <v>424</v>
      </c>
    </row>
    <row r="91" spans="1:11" ht="30" customHeight="1" x14ac:dyDescent="0.25">
      <c r="A91" s="6" t="s">
        <v>425</v>
      </c>
      <c r="B91" s="6" t="s">
        <v>426</v>
      </c>
      <c r="C91" s="7" t="s">
        <v>381</v>
      </c>
      <c r="D91" s="7" t="s">
        <v>63</v>
      </c>
      <c r="E91" s="7" t="s">
        <v>163</v>
      </c>
      <c r="F91" s="7" t="s">
        <v>113</v>
      </c>
      <c r="G91" s="7" t="s">
        <v>427</v>
      </c>
      <c r="H91" s="7" t="s">
        <v>48</v>
      </c>
      <c r="I91" s="7" t="s">
        <v>49</v>
      </c>
      <c r="J91" s="7" t="s">
        <v>50</v>
      </c>
      <c r="K91" s="7" t="s">
        <v>428</v>
      </c>
    </row>
    <row r="92" spans="1:11" ht="30" customHeight="1" x14ac:dyDescent="0.25">
      <c r="A92" s="6" t="s">
        <v>429</v>
      </c>
      <c r="B92" s="6" t="s">
        <v>430</v>
      </c>
      <c r="C92" s="7" t="s">
        <v>18</v>
      </c>
      <c r="D92" s="7" t="s">
        <v>63</v>
      </c>
      <c r="E92" s="7" t="s">
        <v>91</v>
      </c>
      <c r="F92" s="7" t="s">
        <v>431</v>
      </c>
      <c r="G92" s="7" t="s">
        <v>432</v>
      </c>
      <c r="H92" s="7" t="s">
        <v>48</v>
      </c>
      <c r="I92" s="7" t="s">
        <v>49</v>
      </c>
      <c r="J92" s="7" t="s">
        <v>50</v>
      </c>
      <c r="K92" s="7" t="s">
        <v>433</v>
      </c>
    </row>
    <row r="93" spans="1:11" ht="30" customHeight="1" x14ac:dyDescent="0.25">
      <c r="A93" s="6" t="s">
        <v>434</v>
      </c>
      <c r="B93" s="6" t="s">
        <v>435</v>
      </c>
      <c r="C93" s="7" t="s">
        <v>19</v>
      </c>
      <c r="D93" s="7" t="s">
        <v>63</v>
      </c>
      <c r="E93" s="7" t="s">
        <v>55</v>
      </c>
      <c r="F93" s="7" t="s">
        <v>436</v>
      </c>
      <c r="G93" s="7" t="s">
        <v>437</v>
      </c>
      <c r="H93" s="7" t="s">
        <v>48</v>
      </c>
      <c r="I93" s="7" t="s">
        <v>49</v>
      </c>
      <c r="J93" s="7" t="s">
        <v>50</v>
      </c>
      <c r="K93" s="7" t="s">
        <v>438</v>
      </c>
    </row>
    <row r="94" spans="1:11" ht="30" customHeight="1" x14ac:dyDescent="0.25">
      <c r="A94" s="6" t="s">
        <v>439</v>
      </c>
      <c r="B94" s="6" t="s">
        <v>440</v>
      </c>
      <c r="C94" s="7" t="s">
        <v>18</v>
      </c>
      <c r="D94" s="7" t="s">
        <v>63</v>
      </c>
      <c r="E94" s="7" t="s">
        <v>91</v>
      </c>
      <c r="F94" s="7" t="s">
        <v>441</v>
      </c>
      <c r="G94" s="7" t="s">
        <v>442</v>
      </c>
      <c r="H94" s="7" t="s">
        <v>48</v>
      </c>
      <c r="I94" s="7" t="s">
        <v>49</v>
      </c>
      <c r="J94" s="7" t="s">
        <v>50</v>
      </c>
      <c r="K94" s="7" t="s">
        <v>443</v>
      </c>
    </row>
    <row r="95" spans="1:11" ht="30" customHeight="1" x14ac:dyDescent="0.25">
      <c r="A95" s="6" t="s">
        <v>444</v>
      </c>
      <c r="B95" s="6" t="s">
        <v>445</v>
      </c>
      <c r="C95" s="7" t="s">
        <v>155</v>
      </c>
      <c r="D95" s="7" t="s">
        <v>54</v>
      </c>
      <c r="E95" s="7" t="s">
        <v>446</v>
      </c>
      <c r="F95" s="7" t="s">
        <v>447</v>
      </c>
      <c r="G95" s="7" t="s">
        <v>448</v>
      </c>
      <c r="H95" s="7" t="s">
        <v>48</v>
      </c>
      <c r="I95" s="7" t="s">
        <v>109</v>
      </c>
      <c r="J95" s="7" t="s">
        <v>50</v>
      </c>
      <c r="K95" s="7" t="s">
        <v>449</v>
      </c>
    </row>
    <row r="96" spans="1:11" ht="30" customHeight="1" x14ac:dyDescent="0.25">
      <c r="A96" s="6" t="s">
        <v>450</v>
      </c>
      <c r="B96" s="6" t="s">
        <v>451</v>
      </c>
      <c r="C96" s="7" t="s">
        <v>18</v>
      </c>
      <c r="D96" s="7" t="s">
        <v>54</v>
      </c>
      <c r="E96" s="7" t="s">
        <v>91</v>
      </c>
      <c r="F96" s="7" t="s">
        <v>452</v>
      </c>
      <c r="G96" s="7" t="s">
        <v>453</v>
      </c>
      <c r="H96" s="7" t="s">
        <v>48</v>
      </c>
      <c r="I96" s="7" t="s">
        <v>109</v>
      </c>
      <c r="J96" s="7" t="s">
        <v>50</v>
      </c>
      <c r="K96" s="7" t="s">
        <v>454</v>
      </c>
    </row>
    <row r="97" spans="1:11" ht="30" customHeight="1" x14ac:dyDescent="0.25">
      <c r="A97" s="6" t="s">
        <v>455</v>
      </c>
      <c r="B97" s="6" t="s">
        <v>456</v>
      </c>
      <c r="C97" s="7" t="s">
        <v>155</v>
      </c>
      <c r="D97" s="7" t="s">
        <v>63</v>
      </c>
      <c r="E97" s="7" t="s">
        <v>457</v>
      </c>
      <c r="F97" s="7" t="s">
        <v>458</v>
      </c>
      <c r="G97" s="7" t="s">
        <v>453</v>
      </c>
      <c r="H97" s="7" t="s">
        <v>48</v>
      </c>
      <c r="I97" s="7" t="s">
        <v>109</v>
      </c>
      <c r="J97" s="7" t="s">
        <v>50</v>
      </c>
      <c r="K97" s="7" t="s">
        <v>459</v>
      </c>
    </row>
    <row r="98" spans="1:11" ht="30" customHeight="1" x14ac:dyDescent="0.25">
      <c r="A98" s="6" t="s">
        <v>460</v>
      </c>
      <c r="B98" s="6" t="s">
        <v>461</v>
      </c>
      <c r="C98" s="7" t="s">
        <v>462</v>
      </c>
      <c r="D98" s="7" t="s">
        <v>54</v>
      </c>
      <c r="E98" s="7" t="s">
        <v>77</v>
      </c>
      <c r="F98" s="7" t="s">
        <v>315</v>
      </c>
      <c r="G98" s="7" t="s">
        <v>463</v>
      </c>
      <c r="H98" s="7" t="s">
        <v>48</v>
      </c>
      <c r="I98" s="7" t="s">
        <v>109</v>
      </c>
      <c r="J98" s="7" t="s">
        <v>50</v>
      </c>
      <c r="K98" s="7" t="s">
        <v>464</v>
      </c>
    </row>
    <row r="99" spans="1:11" ht="30" customHeight="1" x14ac:dyDescent="0.25">
      <c r="A99" s="6" t="s">
        <v>465</v>
      </c>
      <c r="B99" s="6" t="s">
        <v>466</v>
      </c>
      <c r="C99" s="7" t="s">
        <v>18</v>
      </c>
      <c r="D99" s="7" t="s">
        <v>54</v>
      </c>
      <c r="E99" s="7" t="s">
        <v>91</v>
      </c>
      <c r="F99" s="7" t="s">
        <v>467</v>
      </c>
      <c r="G99" s="7" t="s">
        <v>468</v>
      </c>
      <c r="H99" s="7" t="s">
        <v>48</v>
      </c>
      <c r="I99" s="7" t="s">
        <v>109</v>
      </c>
      <c r="J99" s="7" t="s">
        <v>50</v>
      </c>
      <c r="K99" s="7" t="s">
        <v>469</v>
      </c>
    </row>
    <row r="100" spans="1:11" ht="30" customHeight="1" x14ac:dyDescent="0.25">
      <c r="A100" s="6" t="s">
        <v>470</v>
      </c>
      <c r="B100" s="6" t="s">
        <v>471</v>
      </c>
      <c r="C100" s="7" t="s">
        <v>462</v>
      </c>
      <c r="D100" s="7" t="s">
        <v>63</v>
      </c>
      <c r="E100" s="7" t="s">
        <v>472</v>
      </c>
      <c r="F100" s="7" t="s">
        <v>249</v>
      </c>
      <c r="G100" s="7" t="s">
        <v>473</v>
      </c>
      <c r="H100" s="7" t="s">
        <v>66</v>
      </c>
      <c r="I100" s="7" t="s">
        <v>109</v>
      </c>
      <c r="J100" s="7" t="s">
        <v>50</v>
      </c>
      <c r="K100" s="7" t="s">
        <v>474</v>
      </c>
    </row>
    <row r="101" spans="1:11" ht="30" customHeight="1" x14ac:dyDescent="0.25">
      <c r="A101" s="6" t="s">
        <v>475</v>
      </c>
      <c r="B101" s="6" t="s">
        <v>476</v>
      </c>
      <c r="C101" s="7" t="s">
        <v>18</v>
      </c>
      <c r="D101" s="7" t="s">
        <v>63</v>
      </c>
      <c r="E101" s="7" t="s">
        <v>91</v>
      </c>
      <c r="F101" s="7" t="s">
        <v>249</v>
      </c>
      <c r="G101" s="7" t="s">
        <v>477</v>
      </c>
      <c r="H101" s="7" t="s">
        <v>48</v>
      </c>
      <c r="I101" s="7" t="s">
        <v>109</v>
      </c>
      <c r="J101" s="7" t="s">
        <v>50</v>
      </c>
      <c r="K101" s="7" t="s">
        <v>478</v>
      </c>
    </row>
    <row r="102" spans="1:11" ht="30" customHeight="1" x14ac:dyDescent="0.25">
      <c r="A102" s="6" t="s">
        <v>479</v>
      </c>
      <c r="B102" s="6" t="s">
        <v>480</v>
      </c>
      <c r="C102" s="7" t="s">
        <v>155</v>
      </c>
      <c r="D102" s="7" t="s">
        <v>63</v>
      </c>
      <c r="E102" s="7" t="s">
        <v>457</v>
      </c>
      <c r="F102" s="7" t="s">
        <v>272</v>
      </c>
      <c r="G102" s="7" t="s">
        <v>453</v>
      </c>
      <c r="H102" s="7" t="s">
        <v>48</v>
      </c>
      <c r="I102" s="7" t="s">
        <v>109</v>
      </c>
      <c r="J102" s="7" t="s">
        <v>50</v>
      </c>
      <c r="K102" s="7" t="s">
        <v>481</v>
      </c>
    </row>
    <row r="103" spans="1:11" ht="30" customHeight="1" x14ac:dyDescent="0.25">
      <c r="A103" s="6" t="s">
        <v>482</v>
      </c>
      <c r="B103" s="6" t="s">
        <v>483</v>
      </c>
      <c r="C103" s="7" t="s">
        <v>19</v>
      </c>
      <c r="D103" s="7" t="s">
        <v>54</v>
      </c>
      <c r="E103" s="7" t="s">
        <v>55</v>
      </c>
      <c r="F103" s="7" t="s">
        <v>484</v>
      </c>
      <c r="G103" s="7" t="s">
        <v>485</v>
      </c>
      <c r="H103" s="7" t="s">
        <v>66</v>
      </c>
      <c r="I103" s="7" t="s">
        <v>109</v>
      </c>
      <c r="J103" s="7" t="s">
        <v>50</v>
      </c>
      <c r="K103" s="7" t="s">
        <v>486</v>
      </c>
    </row>
    <row r="104" spans="1:11" ht="30" customHeight="1" x14ac:dyDescent="0.25">
      <c r="A104" s="6" t="s">
        <v>487</v>
      </c>
      <c r="B104" s="6" t="s">
        <v>488</v>
      </c>
      <c r="C104" s="7" t="s">
        <v>462</v>
      </c>
      <c r="D104" s="7" t="s">
        <v>63</v>
      </c>
      <c r="E104" s="7" t="s">
        <v>91</v>
      </c>
      <c r="F104" s="7" t="s">
        <v>249</v>
      </c>
      <c r="G104" s="7" t="s">
        <v>489</v>
      </c>
      <c r="H104" s="7" t="s">
        <v>48</v>
      </c>
      <c r="I104" s="7" t="s">
        <v>109</v>
      </c>
      <c r="J104" s="7" t="s">
        <v>50</v>
      </c>
      <c r="K104" s="7" t="s">
        <v>490</v>
      </c>
    </row>
    <row r="105" spans="1:11" ht="30" customHeight="1" x14ac:dyDescent="0.25">
      <c r="A105" s="6" t="s">
        <v>491</v>
      </c>
      <c r="B105" s="6" t="s">
        <v>492</v>
      </c>
      <c r="C105" s="7" t="s">
        <v>19</v>
      </c>
      <c r="D105" s="7" t="s">
        <v>63</v>
      </c>
      <c r="E105" s="7" t="s">
        <v>55</v>
      </c>
      <c r="F105" s="7" t="s">
        <v>113</v>
      </c>
      <c r="G105" s="7" t="s">
        <v>493</v>
      </c>
      <c r="H105" s="7" t="s">
        <v>48</v>
      </c>
      <c r="I105" s="7" t="s">
        <v>109</v>
      </c>
      <c r="J105" s="7" t="s">
        <v>50</v>
      </c>
      <c r="K105" s="7" t="s">
        <v>494</v>
      </c>
    </row>
    <row r="106" spans="1:11" ht="30" customHeight="1" x14ac:dyDescent="0.25">
      <c r="A106" s="6" t="s">
        <v>495</v>
      </c>
      <c r="B106" s="6" t="s">
        <v>496</v>
      </c>
      <c r="C106" s="7" t="s">
        <v>19</v>
      </c>
      <c r="D106" s="7" t="s">
        <v>63</v>
      </c>
      <c r="E106" s="7" t="s">
        <v>55</v>
      </c>
      <c r="F106" s="7" t="s">
        <v>497</v>
      </c>
      <c r="G106" s="7" t="s">
        <v>498</v>
      </c>
      <c r="H106" s="7" t="s">
        <v>48</v>
      </c>
      <c r="I106" s="7" t="s">
        <v>109</v>
      </c>
      <c r="J106" s="7" t="s">
        <v>50</v>
      </c>
      <c r="K106" s="7" t="s">
        <v>499</v>
      </c>
    </row>
    <row r="107" spans="1:11" ht="30" customHeight="1" x14ac:dyDescent="0.25">
      <c r="A107" s="6" t="s">
        <v>500</v>
      </c>
      <c r="B107" s="6" t="s">
        <v>501</v>
      </c>
      <c r="C107" s="7" t="s">
        <v>392</v>
      </c>
      <c r="D107" s="7" t="s">
        <v>63</v>
      </c>
      <c r="E107" s="7" t="s">
        <v>393</v>
      </c>
      <c r="F107" s="7" t="s">
        <v>502</v>
      </c>
      <c r="G107" s="7" t="s">
        <v>503</v>
      </c>
      <c r="H107" s="7" t="s">
        <v>48</v>
      </c>
      <c r="I107" s="7" t="s">
        <v>109</v>
      </c>
      <c r="J107" s="7" t="s">
        <v>50</v>
      </c>
      <c r="K107" s="7" t="s">
        <v>504</v>
      </c>
    </row>
    <row r="108" spans="1:11" ht="30" customHeight="1" x14ac:dyDescent="0.25">
      <c r="A108" s="6" t="s">
        <v>505</v>
      </c>
      <c r="B108" s="6" t="s">
        <v>506</v>
      </c>
      <c r="C108" s="7" t="s">
        <v>462</v>
      </c>
      <c r="D108" s="7" t="s">
        <v>63</v>
      </c>
      <c r="E108" s="7" t="s">
        <v>55</v>
      </c>
      <c r="F108" s="7" t="s">
        <v>249</v>
      </c>
      <c r="G108" s="7" t="s">
        <v>507</v>
      </c>
      <c r="H108" s="7" t="s">
        <v>48</v>
      </c>
      <c r="I108" s="7" t="s">
        <v>109</v>
      </c>
      <c r="J108" s="7" t="s">
        <v>50</v>
      </c>
      <c r="K108" s="7" t="s">
        <v>508</v>
      </c>
    </row>
    <row r="109" spans="1:11" ht="30" customHeight="1" x14ac:dyDescent="0.25">
      <c r="A109" s="6" t="s">
        <v>509</v>
      </c>
      <c r="B109" s="6" t="s">
        <v>510</v>
      </c>
      <c r="C109" s="7" t="s">
        <v>511</v>
      </c>
      <c r="D109" s="7" t="s">
        <v>97</v>
      </c>
      <c r="E109" s="7" t="s">
        <v>512</v>
      </c>
      <c r="F109" s="7" t="s">
        <v>513</v>
      </c>
      <c r="G109" s="7" t="s">
        <v>514</v>
      </c>
      <c r="H109" s="7" t="s">
        <v>66</v>
      </c>
      <c r="I109" s="7" t="s">
        <v>49</v>
      </c>
      <c r="J109" s="7" t="s">
        <v>50</v>
      </c>
      <c r="K109" s="7"/>
    </row>
    <row r="110" spans="1:11" ht="30" customHeight="1" x14ac:dyDescent="0.25">
      <c r="A110" s="6" t="s">
        <v>515</v>
      </c>
      <c r="B110" s="6" t="s">
        <v>516</v>
      </c>
      <c r="C110" s="7" t="s">
        <v>517</v>
      </c>
      <c r="D110" s="7" t="s">
        <v>518</v>
      </c>
      <c r="E110" s="7" t="s">
        <v>519</v>
      </c>
      <c r="F110" s="7" t="s">
        <v>249</v>
      </c>
      <c r="G110" s="7" t="s">
        <v>520</v>
      </c>
      <c r="H110" s="7" t="s">
        <v>48</v>
      </c>
      <c r="I110" s="7" t="s">
        <v>49</v>
      </c>
      <c r="J110" s="7" t="s">
        <v>50</v>
      </c>
      <c r="K110" s="7"/>
    </row>
    <row r="111" spans="1:11" ht="30" customHeight="1" x14ac:dyDescent="0.25">
      <c r="A111" s="6" t="s">
        <v>521</v>
      </c>
      <c r="B111" s="6" t="s">
        <v>522</v>
      </c>
      <c r="C111" s="7" t="s">
        <v>523</v>
      </c>
      <c r="D111" s="7" t="s">
        <v>518</v>
      </c>
      <c r="E111" s="7" t="s">
        <v>519</v>
      </c>
      <c r="F111" s="7" t="s">
        <v>249</v>
      </c>
      <c r="G111" s="7" t="s">
        <v>520</v>
      </c>
      <c r="H111" s="7" t="s">
        <v>66</v>
      </c>
      <c r="I111" s="7" t="s">
        <v>49</v>
      </c>
      <c r="J111" s="7" t="s">
        <v>50</v>
      </c>
      <c r="K111" s="7"/>
    </row>
    <row r="112" spans="1:11" ht="30" customHeight="1" x14ac:dyDescent="0.25">
      <c r="A112" s="6" t="s">
        <v>524</v>
      </c>
      <c r="B112" s="6" t="s">
        <v>525</v>
      </c>
      <c r="C112" s="7" t="s">
        <v>526</v>
      </c>
      <c r="D112" s="7" t="s">
        <v>97</v>
      </c>
      <c r="E112" s="7" t="s">
        <v>527</v>
      </c>
      <c r="F112" s="7" t="s">
        <v>513</v>
      </c>
      <c r="G112" s="7" t="s">
        <v>528</v>
      </c>
      <c r="H112" s="7" t="s">
        <v>48</v>
      </c>
      <c r="I112" s="7" t="s">
        <v>58</v>
      </c>
      <c r="J112" s="7" t="s">
        <v>50</v>
      </c>
      <c r="K112" s="7" t="s">
        <v>529</v>
      </c>
    </row>
    <row r="113" spans="1:11" ht="30" customHeight="1" x14ac:dyDescent="0.25">
      <c r="A113" s="6" t="s">
        <v>530</v>
      </c>
      <c r="B113" s="6" t="s">
        <v>531</v>
      </c>
      <c r="C113" s="7" t="s">
        <v>532</v>
      </c>
      <c r="D113" s="7" t="s">
        <v>97</v>
      </c>
      <c r="E113" s="7" t="s">
        <v>533</v>
      </c>
      <c r="F113" s="7" t="s">
        <v>513</v>
      </c>
      <c r="G113" s="7" t="s">
        <v>534</v>
      </c>
      <c r="H113" s="7" t="s">
        <v>48</v>
      </c>
      <c r="I113" s="7" t="s">
        <v>109</v>
      </c>
      <c r="J113" s="7" t="s">
        <v>50</v>
      </c>
      <c r="K113" s="7" t="s">
        <v>535</v>
      </c>
    </row>
    <row r="114" spans="1:11" ht="30" customHeight="1" x14ac:dyDescent="0.25">
      <c r="A114" s="6" t="s">
        <v>536</v>
      </c>
      <c r="B114" s="6" t="s">
        <v>537</v>
      </c>
      <c r="C114" s="7" t="s">
        <v>532</v>
      </c>
      <c r="D114" s="7" t="s">
        <v>97</v>
      </c>
      <c r="E114" s="7" t="s">
        <v>538</v>
      </c>
      <c r="F114" s="7" t="s">
        <v>539</v>
      </c>
      <c r="G114" s="7" t="s">
        <v>540</v>
      </c>
      <c r="H114" s="7" t="s">
        <v>48</v>
      </c>
      <c r="I114" s="7" t="s">
        <v>109</v>
      </c>
      <c r="J114" s="7" t="s">
        <v>50</v>
      </c>
      <c r="K114" s="7" t="s">
        <v>541</v>
      </c>
    </row>
    <row r="115" spans="1:11" ht="30" customHeight="1" x14ac:dyDescent="0.25">
      <c r="A115" s="6" t="s">
        <v>542</v>
      </c>
      <c r="B115" s="6" t="s">
        <v>543</v>
      </c>
      <c r="C115" s="7" t="s">
        <v>532</v>
      </c>
      <c r="D115" s="7" t="s">
        <v>97</v>
      </c>
      <c r="E115" s="7" t="s">
        <v>544</v>
      </c>
      <c r="F115" s="7" t="s">
        <v>513</v>
      </c>
      <c r="G115" s="7" t="s">
        <v>528</v>
      </c>
      <c r="H115" s="7" t="s">
        <v>48</v>
      </c>
      <c r="I115" s="7" t="s">
        <v>109</v>
      </c>
      <c r="J115" s="7" t="s">
        <v>50</v>
      </c>
      <c r="K115" s="7" t="s">
        <v>545</v>
      </c>
    </row>
    <row r="116" spans="1:11" ht="30" customHeight="1" x14ac:dyDescent="0.25">
      <c r="A116" s="6" t="s">
        <v>546</v>
      </c>
      <c r="B116" s="6" t="s">
        <v>547</v>
      </c>
      <c r="C116" s="7" t="s">
        <v>511</v>
      </c>
      <c r="D116" s="7" t="s">
        <v>97</v>
      </c>
      <c r="E116" s="7" t="s">
        <v>548</v>
      </c>
      <c r="F116" s="7" t="s">
        <v>549</v>
      </c>
      <c r="G116" s="7" t="s">
        <v>550</v>
      </c>
      <c r="H116" s="7" t="s">
        <v>48</v>
      </c>
      <c r="I116" s="7" t="s">
        <v>49</v>
      </c>
      <c r="J116" s="7" t="s">
        <v>50</v>
      </c>
      <c r="K116" s="7"/>
    </row>
    <row r="117" spans="1:11" ht="30" customHeight="1" x14ac:dyDescent="0.25">
      <c r="A117" s="6" t="s">
        <v>551</v>
      </c>
      <c r="B117" s="6" t="s">
        <v>552</v>
      </c>
      <c r="C117" s="7" t="s">
        <v>511</v>
      </c>
      <c r="D117" s="7" t="s">
        <v>97</v>
      </c>
      <c r="E117" s="7" t="s">
        <v>548</v>
      </c>
      <c r="F117" s="7" t="s">
        <v>553</v>
      </c>
      <c r="G117" s="7" t="s">
        <v>550</v>
      </c>
      <c r="H117" s="7" t="s">
        <v>48</v>
      </c>
      <c r="I117" s="7" t="s">
        <v>49</v>
      </c>
      <c r="J117" s="7" t="s">
        <v>50</v>
      </c>
      <c r="K117" s="7"/>
    </row>
    <row r="118" spans="1:11" ht="30" customHeight="1" x14ac:dyDescent="0.25">
      <c r="A118" s="6" t="s">
        <v>554</v>
      </c>
      <c r="B118" s="6" t="s">
        <v>555</v>
      </c>
      <c r="C118" s="7" t="s">
        <v>359</v>
      </c>
      <c r="D118" s="7" t="s">
        <v>63</v>
      </c>
      <c r="E118" s="7" t="s">
        <v>85</v>
      </c>
      <c r="F118" s="7" t="s">
        <v>249</v>
      </c>
      <c r="G118" s="7" t="s">
        <v>556</v>
      </c>
      <c r="H118" s="7" t="s">
        <v>48</v>
      </c>
      <c r="I118" s="7" t="s">
        <v>49</v>
      </c>
      <c r="J118" s="7" t="s">
        <v>50</v>
      </c>
      <c r="K118" s="7"/>
    </row>
    <row r="119" spans="1:11" ht="30" customHeight="1" x14ac:dyDescent="0.25">
      <c r="A119" s="6" t="s">
        <v>557</v>
      </c>
      <c r="B119" s="6" t="s">
        <v>558</v>
      </c>
      <c r="C119" s="7" t="s">
        <v>363</v>
      </c>
      <c r="D119" s="7" t="s">
        <v>364</v>
      </c>
      <c r="E119" s="7" t="s">
        <v>559</v>
      </c>
      <c r="F119" s="7" t="s">
        <v>249</v>
      </c>
      <c r="G119" s="7" t="s">
        <v>560</v>
      </c>
      <c r="H119" s="7" t="s">
        <v>48</v>
      </c>
      <c r="I119" s="7" t="s">
        <v>49</v>
      </c>
      <c r="J119" s="7" t="s">
        <v>50</v>
      </c>
      <c r="K119" s="7"/>
    </row>
    <row r="120" spans="1:11" ht="30" customHeight="1" x14ac:dyDescent="0.25">
      <c r="A120" s="6" t="s">
        <v>561</v>
      </c>
      <c r="B120" s="6" t="s">
        <v>562</v>
      </c>
      <c r="C120" s="7" t="s">
        <v>563</v>
      </c>
      <c r="D120" s="7" t="s">
        <v>44</v>
      </c>
      <c r="E120" s="7" t="s">
        <v>564</v>
      </c>
      <c r="F120" s="7" t="s">
        <v>565</v>
      </c>
      <c r="G120" s="7" t="s">
        <v>566</v>
      </c>
      <c r="H120" s="7" t="s">
        <v>48</v>
      </c>
      <c r="I120" s="7" t="s">
        <v>49</v>
      </c>
      <c r="J120" s="7" t="s">
        <v>50</v>
      </c>
      <c r="K120" s="7"/>
    </row>
    <row r="121" spans="1:11" ht="30" customHeight="1" x14ac:dyDescent="0.25">
      <c r="A121" s="6" t="s">
        <v>567</v>
      </c>
      <c r="B121" s="6" t="s">
        <v>568</v>
      </c>
      <c r="C121" s="7" t="s">
        <v>569</v>
      </c>
      <c r="D121" s="7" t="s">
        <v>97</v>
      </c>
      <c r="E121" s="7" t="s">
        <v>570</v>
      </c>
      <c r="F121" s="7" t="s">
        <v>249</v>
      </c>
      <c r="G121" s="7" t="s">
        <v>566</v>
      </c>
      <c r="H121" s="7" t="s">
        <v>48</v>
      </c>
      <c r="I121" s="7" t="s">
        <v>109</v>
      </c>
      <c r="J121" s="7" t="s">
        <v>50</v>
      </c>
      <c r="K121" s="7" t="s">
        <v>571</v>
      </c>
    </row>
    <row r="122" spans="1:11" ht="30" customHeight="1" x14ac:dyDescent="0.25">
      <c r="A122" s="6" t="s">
        <v>572</v>
      </c>
      <c r="B122" s="6" t="s">
        <v>573</v>
      </c>
      <c r="C122" s="7" t="s">
        <v>574</v>
      </c>
      <c r="D122" s="7" t="s">
        <v>97</v>
      </c>
      <c r="E122" s="7" t="s">
        <v>575</v>
      </c>
      <c r="F122" s="7" t="s">
        <v>576</v>
      </c>
      <c r="G122" s="7" t="s">
        <v>577</v>
      </c>
      <c r="H122" s="7" t="s">
        <v>126</v>
      </c>
      <c r="I122" s="7" t="s">
        <v>109</v>
      </c>
      <c r="J122" s="7" t="s">
        <v>578</v>
      </c>
      <c r="K122" s="7" t="s">
        <v>579</v>
      </c>
    </row>
    <row r="123" spans="1:11" ht="30" customHeight="1" x14ac:dyDescent="0.25">
      <c r="A123" s="6" t="s">
        <v>580</v>
      </c>
      <c r="B123" s="6" t="s">
        <v>581</v>
      </c>
      <c r="C123" s="7" t="s">
        <v>20</v>
      </c>
      <c r="D123" s="7" t="s">
        <v>54</v>
      </c>
      <c r="E123" s="7" t="s">
        <v>81</v>
      </c>
      <c r="F123" s="7" t="s">
        <v>86</v>
      </c>
      <c r="G123" s="7" t="s">
        <v>582</v>
      </c>
      <c r="H123" s="7" t="s">
        <v>48</v>
      </c>
      <c r="I123" s="7" t="s">
        <v>109</v>
      </c>
      <c r="J123" s="7" t="s">
        <v>583</v>
      </c>
      <c r="K123" s="7" t="s">
        <v>584</v>
      </c>
    </row>
    <row r="124" spans="1:11" ht="30" customHeight="1" x14ac:dyDescent="0.25">
      <c r="A124" s="6" t="s">
        <v>585</v>
      </c>
      <c r="B124" s="6" t="s">
        <v>586</v>
      </c>
      <c r="C124" s="7" t="s">
        <v>532</v>
      </c>
      <c r="D124" s="7" t="s">
        <v>97</v>
      </c>
      <c r="E124" s="7" t="s">
        <v>544</v>
      </c>
      <c r="F124" s="7" t="s">
        <v>587</v>
      </c>
      <c r="G124" s="7" t="s">
        <v>528</v>
      </c>
      <c r="H124" s="7" t="s">
        <v>48</v>
      </c>
      <c r="I124" s="7" t="s">
        <v>109</v>
      </c>
      <c r="J124" s="7" t="s">
        <v>50</v>
      </c>
      <c r="K124" s="7" t="s">
        <v>588</v>
      </c>
    </row>
    <row r="125" spans="1:11" ht="30" customHeight="1" x14ac:dyDescent="0.25">
      <c r="A125" s="6" t="s">
        <v>589</v>
      </c>
      <c r="B125" s="6" t="s">
        <v>590</v>
      </c>
      <c r="C125" s="7" t="s">
        <v>532</v>
      </c>
      <c r="D125" s="7" t="s">
        <v>97</v>
      </c>
      <c r="E125" s="7" t="s">
        <v>45</v>
      </c>
      <c r="F125" s="7" t="s">
        <v>591</v>
      </c>
      <c r="G125" s="7" t="s">
        <v>528</v>
      </c>
      <c r="H125" s="7" t="s">
        <v>66</v>
      </c>
      <c r="I125" s="7" t="s">
        <v>67</v>
      </c>
      <c r="J125" s="7" t="s">
        <v>50</v>
      </c>
      <c r="K125" s="7" t="s">
        <v>592</v>
      </c>
    </row>
  </sheetData>
  <mergeCells count="2">
    <mergeCell ref="A2:K2"/>
    <mergeCell ref="A1:K1"/>
  </mergeCells>
  <phoneticPr fontId="12" type="noConversion"/>
  <conditionalFormatting sqref="I5:I125">
    <cfRule type="expression" dxfId="41" priority="1">
      <formula>OR(I5="Reviewed",I5="Human-Checked",I5="Human-Revised",I5="Supported")</formula>
    </cfRule>
    <cfRule type="expression" dxfId="40" priority="2">
      <formula>OR(I5="Research",I5="AI-Seeded",I5="Candidate",I5="Lead")</formula>
    </cfRule>
    <cfRule type="expression" dxfId="39" priority="3">
      <formula>OR(I5="Needs Second Source",I5="Needs Local Retrieval",I5="Failed")</formula>
    </cfRule>
  </conditionalFormatting>
  <pageMargins left="0.25" right="0.25" top="0.4" bottom="0.4" header="0.5" footer="0.5"/>
  <pageSetup orientation="landscape"/>
  <headerFooter>
    <oddHeader>&amp;C&amp;BActors</oddHeader>
    <oddFooter>&amp;LOkinawa NGO / Civic Organization Database&amp;CEnglish presentation edition&amp;RPage &amp;P of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626A"/>
    <pageSetUpPr fitToPage="1"/>
  </sheetPr>
  <dimension ref="A1:E30"/>
  <sheetViews>
    <sheetView showGridLines="0" zoomScale="85" workbookViewId="0">
      <pane ySplit="4" topLeftCell="A5" activePane="bottomLeft" state="frozen"/>
      <selection pane="bottomLeft"/>
    </sheetView>
  </sheetViews>
  <sheetFormatPr defaultRowHeight="14.4" x14ac:dyDescent="0.25"/>
  <cols>
    <col min="1" max="1" width="11" customWidth="1"/>
    <col min="2" max="2" width="28" customWidth="1"/>
    <col min="3" max="3" width="22" customWidth="1"/>
    <col min="4" max="4" width="42" customWidth="1"/>
    <col min="5" max="5" width="21" customWidth="1"/>
  </cols>
  <sheetData>
    <row r="1" spans="1:5" ht="34.049999999999997" customHeight="1" x14ac:dyDescent="0.25">
      <c r="A1" s="21" t="s">
        <v>593</v>
      </c>
      <c r="B1" s="11"/>
      <c r="C1" s="11"/>
      <c r="D1" s="11"/>
      <c r="E1" s="11"/>
    </row>
    <row r="2" spans="1:5" ht="31.95" customHeight="1" x14ac:dyDescent="0.25">
      <c r="A2" s="20" t="s">
        <v>594</v>
      </c>
      <c r="B2" s="11"/>
      <c r="C2" s="11"/>
      <c r="D2" s="11"/>
      <c r="E2" s="11"/>
    </row>
    <row r="4" spans="1:5" ht="34.049999999999997" customHeight="1" x14ac:dyDescent="0.25">
      <c r="A4" s="5" t="s">
        <v>595</v>
      </c>
      <c r="B4" s="5" t="s">
        <v>596</v>
      </c>
      <c r="C4" s="5" t="s">
        <v>597</v>
      </c>
      <c r="D4" s="5" t="s">
        <v>598</v>
      </c>
      <c r="E4" s="5" t="s">
        <v>599</v>
      </c>
    </row>
    <row r="5" spans="1:5" ht="30" customHeight="1" x14ac:dyDescent="0.25">
      <c r="A5" s="6" t="s">
        <v>600</v>
      </c>
      <c r="B5" s="6" t="s">
        <v>601</v>
      </c>
      <c r="C5" s="7" t="s">
        <v>602</v>
      </c>
      <c r="D5" s="7" t="s">
        <v>603</v>
      </c>
      <c r="E5" s="7" t="s">
        <v>604</v>
      </c>
    </row>
    <row r="6" spans="1:5" ht="30" customHeight="1" x14ac:dyDescent="0.25">
      <c r="A6" s="6" t="s">
        <v>605</v>
      </c>
      <c r="B6" s="6" t="s">
        <v>606</v>
      </c>
      <c r="C6" s="7" t="s">
        <v>607</v>
      </c>
      <c r="D6" s="7" t="s">
        <v>608</v>
      </c>
      <c r="E6" s="7" t="s">
        <v>604</v>
      </c>
    </row>
    <row r="7" spans="1:5" ht="30" customHeight="1" x14ac:dyDescent="0.25">
      <c r="A7" s="6" t="s">
        <v>609</v>
      </c>
      <c r="B7" s="6" t="s">
        <v>610</v>
      </c>
      <c r="C7" s="7" t="s">
        <v>611</v>
      </c>
      <c r="D7" s="7" t="s">
        <v>612</v>
      </c>
      <c r="E7" s="7" t="s">
        <v>604</v>
      </c>
    </row>
    <row r="8" spans="1:5" ht="30" customHeight="1" x14ac:dyDescent="0.25">
      <c r="A8" s="6" t="s">
        <v>613</v>
      </c>
      <c r="B8" s="6" t="s">
        <v>614</v>
      </c>
      <c r="C8" s="7" t="s">
        <v>615</v>
      </c>
      <c r="D8" s="7" t="s">
        <v>616</v>
      </c>
      <c r="E8" s="7" t="s">
        <v>604</v>
      </c>
    </row>
    <row r="9" spans="1:5" ht="30" customHeight="1" x14ac:dyDescent="0.25">
      <c r="A9" s="6" t="s">
        <v>617</v>
      </c>
      <c r="B9" s="6" t="s">
        <v>618</v>
      </c>
      <c r="C9" s="7" t="s">
        <v>615</v>
      </c>
      <c r="D9" s="7" t="s">
        <v>619</v>
      </c>
      <c r="E9" s="7" t="s">
        <v>604</v>
      </c>
    </row>
    <row r="10" spans="1:5" ht="30" customHeight="1" x14ac:dyDescent="0.25">
      <c r="A10" s="6" t="s">
        <v>620</v>
      </c>
      <c r="B10" s="6" t="s">
        <v>621</v>
      </c>
      <c r="C10" s="7" t="s">
        <v>622</v>
      </c>
      <c r="D10" s="7" t="s">
        <v>623</v>
      </c>
      <c r="E10" s="7" t="s">
        <v>604</v>
      </c>
    </row>
    <row r="11" spans="1:5" ht="30" customHeight="1" x14ac:dyDescent="0.25">
      <c r="A11" s="6" t="s">
        <v>624</v>
      </c>
      <c r="B11" s="6" t="s">
        <v>622</v>
      </c>
      <c r="C11" s="7" t="s">
        <v>622</v>
      </c>
      <c r="D11" s="7" t="s">
        <v>625</v>
      </c>
      <c r="E11" s="7" t="s">
        <v>604</v>
      </c>
    </row>
    <row r="12" spans="1:5" ht="30" customHeight="1" x14ac:dyDescent="0.25">
      <c r="A12" s="6" t="s">
        <v>626</v>
      </c>
      <c r="B12" s="6" t="s">
        <v>627</v>
      </c>
      <c r="C12" s="7" t="s">
        <v>622</v>
      </c>
      <c r="D12" s="7" t="s">
        <v>628</v>
      </c>
      <c r="E12" s="7" t="s">
        <v>604</v>
      </c>
    </row>
    <row r="13" spans="1:5" ht="30" customHeight="1" x14ac:dyDescent="0.25">
      <c r="A13" s="6" t="s">
        <v>629</v>
      </c>
      <c r="B13" s="6" t="s">
        <v>630</v>
      </c>
      <c r="C13" s="7" t="s">
        <v>631</v>
      </c>
      <c r="D13" s="7" t="s">
        <v>632</v>
      </c>
      <c r="E13" s="7" t="s">
        <v>604</v>
      </c>
    </row>
    <row r="14" spans="1:5" ht="30" customHeight="1" x14ac:dyDescent="0.25">
      <c r="A14" s="6" t="s">
        <v>633</v>
      </c>
      <c r="B14" s="6" t="s">
        <v>634</v>
      </c>
      <c r="C14" s="7" t="s">
        <v>631</v>
      </c>
      <c r="D14" s="7" t="s">
        <v>635</v>
      </c>
      <c r="E14" s="7" t="s">
        <v>604</v>
      </c>
    </row>
    <row r="15" spans="1:5" ht="30" customHeight="1" x14ac:dyDescent="0.25">
      <c r="A15" s="6" t="s">
        <v>636</v>
      </c>
      <c r="B15" s="6" t="s">
        <v>637</v>
      </c>
      <c r="C15" s="7" t="s">
        <v>638</v>
      </c>
      <c r="D15" s="7" t="s">
        <v>639</v>
      </c>
      <c r="E15" s="7" t="s">
        <v>604</v>
      </c>
    </row>
    <row r="16" spans="1:5" ht="30" customHeight="1" x14ac:dyDescent="0.25">
      <c r="A16" s="6" t="s">
        <v>640</v>
      </c>
      <c r="B16" s="6" t="s">
        <v>641</v>
      </c>
      <c r="C16" s="7" t="s">
        <v>642</v>
      </c>
      <c r="D16" s="7" t="s">
        <v>643</v>
      </c>
      <c r="E16" s="7" t="s">
        <v>604</v>
      </c>
    </row>
    <row r="17" spans="1:5" ht="30" customHeight="1" x14ac:dyDescent="0.25">
      <c r="A17" s="6" t="s">
        <v>644</v>
      </c>
      <c r="B17" s="6" t="s">
        <v>645</v>
      </c>
      <c r="C17" s="7" t="s">
        <v>646</v>
      </c>
      <c r="D17" s="7" t="s">
        <v>647</v>
      </c>
      <c r="E17" s="7" t="s">
        <v>648</v>
      </c>
    </row>
    <row r="18" spans="1:5" ht="30" customHeight="1" x14ac:dyDescent="0.25">
      <c r="A18" s="6" t="s">
        <v>649</v>
      </c>
      <c r="B18" s="6" t="s">
        <v>650</v>
      </c>
      <c r="C18" s="7" t="s">
        <v>651</v>
      </c>
      <c r="D18" s="7" t="s">
        <v>652</v>
      </c>
      <c r="E18" s="7" t="s">
        <v>648</v>
      </c>
    </row>
    <row r="19" spans="1:5" ht="30" customHeight="1" x14ac:dyDescent="0.25">
      <c r="A19" s="6" t="s">
        <v>653</v>
      </c>
      <c r="B19" s="6" t="s">
        <v>654</v>
      </c>
      <c r="C19" s="7" t="s">
        <v>646</v>
      </c>
      <c r="D19" s="7" t="s">
        <v>655</v>
      </c>
      <c r="E19" s="7" t="s">
        <v>648</v>
      </c>
    </row>
    <row r="20" spans="1:5" ht="30" customHeight="1" x14ac:dyDescent="0.25">
      <c r="A20" s="6" t="s">
        <v>656</v>
      </c>
      <c r="B20" s="6" t="s">
        <v>657</v>
      </c>
      <c r="C20" s="7" t="s">
        <v>651</v>
      </c>
      <c r="D20" s="7" t="s">
        <v>658</v>
      </c>
      <c r="E20" s="7" t="s">
        <v>648</v>
      </c>
    </row>
    <row r="21" spans="1:5" ht="30" customHeight="1" x14ac:dyDescent="0.25">
      <c r="A21" s="6" t="s">
        <v>659</v>
      </c>
      <c r="B21" s="6" t="s">
        <v>660</v>
      </c>
      <c r="C21" s="7" t="s">
        <v>607</v>
      </c>
      <c r="D21" s="7" t="s">
        <v>661</v>
      </c>
      <c r="E21" s="7" t="s">
        <v>604</v>
      </c>
    </row>
    <row r="22" spans="1:5" ht="30" customHeight="1" x14ac:dyDescent="0.25">
      <c r="A22" s="6" t="s">
        <v>662</v>
      </c>
      <c r="B22" s="6" t="s">
        <v>663</v>
      </c>
      <c r="C22" s="7" t="s">
        <v>607</v>
      </c>
      <c r="D22" s="7" t="s">
        <v>664</v>
      </c>
      <c r="E22" s="7" t="s">
        <v>604</v>
      </c>
    </row>
    <row r="23" spans="1:5" ht="30" customHeight="1" x14ac:dyDescent="0.25">
      <c r="A23" s="6" t="s">
        <v>665</v>
      </c>
      <c r="B23" s="6" t="s">
        <v>666</v>
      </c>
      <c r="C23" s="7" t="s">
        <v>667</v>
      </c>
      <c r="D23" s="7" t="s">
        <v>668</v>
      </c>
      <c r="E23" s="7" t="s">
        <v>604</v>
      </c>
    </row>
    <row r="24" spans="1:5" ht="30" customHeight="1" x14ac:dyDescent="0.25">
      <c r="A24" s="6" t="s">
        <v>669</v>
      </c>
      <c r="B24" s="6" t="s">
        <v>615</v>
      </c>
      <c r="C24" s="7" t="s">
        <v>615</v>
      </c>
      <c r="D24" s="7" t="s">
        <v>670</v>
      </c>
      <c r="E24" s="7" t="s">
        <v>604</v>
      </c>
    </row>
    <row r="25" spans="1:5" ht="30" customHeight="1" x14ac:dyDescent="0.25">
      <c r="A25" s="6" t="s">
        <v>671</v>
      </c>
      <c r="B25" s="6" t="s">
        <v>672</v>
      </c>
      <c r="C25" s="7" t="s">
        <v>622</v>
      </c>
      <c r="D25" s="7" t="s">
        <v>673</v>
      </c>
      <c r="E25" s="7" t="s">
        <v>604</v>
      </c>
    </row>
    <row r="26" spans="1:5" ht="30" customHeight="1" x14ac:dyDescent="0.25">
      <c r="A26" s="6" t="s">
        <v>674</v>
      </c>
      <c r="B26" s="6" t="s">
        <v>675</v>
      </c>
      <c r="C26" s="7" t="s">
        <v>667</v>
      </c>
      <c r="D26" s="7" t="s">
        <v>676</v>
      </c>
      <c r="E26" s="7" t="s">
        <v>604</v>
      </c>
    </row>
    <row r="27" spans="1:5" ht="30" customHeight="1" x14ac:dyDescent="0.25">
      <c r="A27" s="6" t="s">
        <v>677</v>
      </c>
      <c r="B27" s="6" t="s">
        <v>678</v>
      </c>
      <c r="C27" s="7" t="s">
        <v>667</v>
      </c>
      <c r="D27" s="7" t="s">
        <v>679</v>
      </c>
      <c r="E27" s="7" t="s">
        <v>604</v>
      </c>
    </row>
    <row r="28" spans="1:5" ht="30" customHeight="1" x14ac:dyDescent="0.25">
      <c r="A28" s="6" t="s">
        <v>680</v>
      </c>
      <c r="B28" s="6" t="s">
        <v>681</v>
      </c>
      <c r="C28" s="7" t="s">
        <v>682</v>
      </c>
      <c r="D28" s="7" t="s">
        <v>683</v>
      </c>
      <c r="E28" s="7" t="s">
        <v>604</v>
      </c>
    </row>
    <row r="29" spans="1:5" ht="30" customHeight="1" x14ac:dyDescent="0.25">
      <c r="A29" s="6" t="s">
        <v>684</v>
      </c>
      <c r="B29" s="6" t="s">
        <v>685</v>
      </c>
      <c r="C29" s="7" t="s">
        <v>667</v>
      </c>
      <c r="D29" s="7" t="s">
        <v>686</v>
      </c>
      <c r="E29" s="7" t="s">
        <v>604</v>
      </c>
    </row>
    <row r="30" spans="1:5" ht="30" customHeight="1" x14ac:dyDescent="0.25">
      <c r="A30" s="6" t="s">
        <v>687</v>
      </c>
      <c r="B30" s="6" t="s">
        <v>688</v>
      </c>
      <c r="C30" s="7" t="s">
        <v>682</v>
      </c>
      <c r="D30" s="7" t="s">
        <v>689</v>
      </c>
      <c r="E30" s="7" t="s">
        <v>604</v>
      </c>
    </row>
  </sheetData>
  <mergeCells count="2">
    <mergeCell ref="A2:E2"/>
    <mergeCell ref="A1:E1"/>
  </mergeCells>
  <phoneticPr fontId="12" type="noConversion"/>
  <pageMargins left="0.25" right="0.25" top="0.4" bottom="0.4" header="0.5" footer="0.5"/>
  <pageSetup orientation="portrait"/>
  <headerFooter>
    <oddHeader>&amp;C&amp;BIssues</oddHeader>
    <oddFooter>&amp;LOkinawa NGO / Civic Organization Database&amp;CEnglish presentation edition&amp;RPage &amp;P of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B626A"/>
    <pageSetUpPr fitToPage="1"/>
  </sheetPr>
  <dimension ref="A1:F25"/>
  <sheetViews>
    <sheetView showGridLines="0" zoomScale="85" workbookViewId="0">
      <pane ySplit="4" topLeftCell="A5" activePane="bottomLeft" state="frozen"/>
      <selection pane="bottomLeft"/>
    </sheetView>
  </sheetViews>
  <sheetFormatPr defaultRowHeight="14.4" x14ac:dyDescent="0.25"/>
  <cols>
    <col min="1" max="1" width="11" customWidth="1"/>
    <col min="2" max="2" width="29" customWidth="1"/>
    <col min="3" max="3" width="20" customWidth="1"/>
    <col min="4" max="4" width="28" customWidth="1"/>
    <col min="5" max="5" width="42" customWidth="1"/>
    <col min="6" max="6" width="11" customWidth="1"/>
  </cols>
  <sheetData>
    <row r="1" spans="1:6" ht="34.049999999999997" customHeight="1" x14ac:dyDescent="0.25">
      <c r="A1" s="21" t="s">
        <v>690</v>
      </c>
      <c r="B1" s="11"/>
      <c r="C1" s="11"/>
      <c r="D1" s="11"/>
      <c r="E1" s="11"/>
      <c r="F1" s="11"/>
    </row>
    <row r="2" spans="1:6" ht="31.95" customHeight="1" x14ac:dyDescent="0.25">
      <c r="A2" s="20" t="s">
        <v>691</v>
      </c>
      <c r="B2" s="11"/>
      <c r="C2" s="11"/>
      <c r="D2" s="11"/>
      <c r="E2" s="11"/>
      <c r="F2" s="11"/>
    </row>
    <row r="4" spans="1:6" ht="34.049999999999997" customHeight="1" x14ac:dyDescent="0.25">
      <c r="A4" s="5" t="s">
        <v>692</v>
      </c>
      <c r="B4" s="5" t="s">
        <v>693</v>
      </c>
      <c r="C4" s="5" t="s">
        <v>694</v>
      </c>
      <c r="D4" s="5" t="s">
        <v>695</v>
      </c>
      <c r="E4" s="5" t="s">
        <v>696</v>
      </c>
      <c r="F4" s="5" t="s">
        <v>697</v>
      </c>
    </row>
    <row r="5" spans="1:6" ht="30" customHeight="1" x14ac:dyDescent="0.25">
      <c r="A5" s="6" t="s">
        <v>698</v>
      </c>
      <c r="B5" s="6" t="s">
        <v>699</v>
      </c>
      <c r="C5" s="7" t="s">
        <v>700</v>
      </c>
      <c r="D5" s="7" t="s">
        <v>249</v>
      </c>
      <c r="E5" s="7" t="s">
        <v>701</v>
      </c>
      <c r="F5" s="7" t="s">
        <v>702</v>
      </c>
    </row>
    <row r="6" spans="1:6" ht="30" customHeight="1" x14ac:dyDescent="0.25">
      <c r="A6" s="6" t="s">
        <v>703</v>
      </c>
      <c r="B6" s="6" t="s">
        <v>610</v>
      </c>
      <c r="C6" s="7" t="s">
        <v>704</v>
      </c>
      <c r="D6" s="7" t="s">
        <v>342</v>
      </c>
      <c r="E6" s="7" t="s">
        <v>705</v>
      </c>
      <c r="F6" s="7" t="s">
        <v>702</v>
      </c>
    </row>
    <row r="7" spans="1:6" ht="30" customHeight="1" x14ac:dyDescent="0.25">
      <c r="A7" s="6" t="s">
        <v>706</v>
      </c>
      <c r="B7" s="6" t="s">
        <v>707</v>
      </c>
      <c r="C7" s="7" t="s">
        <v>704</v>
      </c>
      <c r="D7" s="7" t="s">
        <v>342</v>
      </c>
      <c r="E7" s="7" t="s">
        <v>708</v>
      </c>
      <c r="F7" s="7" t="s">
        <v>702</v>
      </c>
    </row>
    <row r="8" spans="1:6" ht="30" customHeight="1" x14ac:dyDescent="0.25">
      <c r="A8" s="6" t="s">
        <v>709</v>
      </c>
      <c r="B8" s="6" t="s">
        <v>458</v>
      </c>
      <c r="C8" s="7" t="s">
        <v>704</v>
      </c>
      <c r="D8" s="7" t="s">
        <v>710</v>
      </c>
      <c r="E8" s="7" t="s">
        <v>711</v>
      </c>
      <c r="F8" s="7" t="s">
        <v>712</v>
      </c>
    </row>
    <row r="9" spans="1:6" ht="30" customHeight="1" x14ac:dyDescent="0.25">
      <c r="A9" s="6" t="s">
        <v>713</v>
      </c>
      <c r="B9" s="6" t="s">
        <v>714</v>
      </c>
      <c r="C9" s="7" t="s">
        <v>715</v>
      </c>
      <c r="D9" s="7" t="s">
        <v>716</v>
      </c>
      <c r="E9" s="7" t="s">
        <v>717</v>
      </c>
      <c r="F9" s="7" t="s">
        <v>712</v>
      </c>
    </row>
    <row r="10" spans="1:6" ht="30" customHeight="1" x14ac:dyDescent="0.25">
      <c r="A10" s="6" t="s">
        <v>718</v>
      </c>
      <c r="B10" s="6" t="s">
        <v>719</v>
      </c>
      <c r="C10" s="7" t="s">
        <v>715</v>
      </c>
      <c r="D10" s="7" t="s">
        <v>720</v>
      </c>
      <c r="E10" s="7" t="s">
        <v>721</v>
      </c>
      <c r="F10" s="7" t="s">
        <v>702</v>
      </c>
    </row>
    <row r="11" spans="1:6" ht="30" customHeight="1" x14ac:dyDescent="0.25">
      <c r="A11" s="6" t="s">
        <v>722</v>
      </c>
      <c r="B11" s="6" t="s">
        <v>553</v>
      </c>
      <c r="C11" s="7" t="s">
        <v>715</v>
      </c>
      <c r="D11" s="7" t="s">
        <v>723</v>
      </c>
      <c r="E11" s="7" t="s">
        <v>724</v>
      </c>
      <c r="F11" s="7" t="s">
        <v>712</v>
      </c>
    </row>
    <row r="12" spans="1:6" ht="30" customHeight="1" x14ac:dyDescent="0.25">
      <c r="A12" s="6" t="s">
        <v>725</v>
      </c>
      <c r="B12" s="6" t="s">
        <v>726</v>
      </c>
      <c r="C12" s="7" t="s">
        <v>715</v>
      </c>
      <c r="D12" s="7" t="s">
        <v>727</v>
      </c>
      <c r="E12" s="7" t="s">
        <v>728</v>
      </c>
      <c r="F12" s="7" t="s">
        <v>712</v>
      </c>
    </row>
    <row r="13" spans="1:6" ht="30" customHeight="1" x14ac:dyDescent="0.25">
      <c r="A13" s="6" t="s">
        <v>729</v>
      </c>
      <c r="B13" s="6" t="s">
        <v>730</v>
      </c>
      <c r="C13" s="7" t="s">
        <v>715</v>
      </c>
      <c r="D13" s="7" t="s">
        <v>731</v>
      </c>
      <c r="E13" s="7" t="s">
        <v>732</v>
      </c>
      <c r="F13" s="7" t="s">
        <v>712</v>
      </c>
    </row>
    <row r="14" spans="1:6" ht="30" customHeight="1" x14ac:dyDescent="0.25">
      <c r="A14" s="6" t="s">
        <v>733</v>
      </c>
      <c r="B14" s="6" t="s">
        <v>734</v>
      </c>
      <c r="C14" s="7" t="s">
        <v>715</v>
      </c>
      <c r="D14" s="7" t="s">
        <v>710</v>
      </c>
      <c r="E14" s="7" t="s">
        <v>735</v>
      </c>
      <c r="F14" s="7" t="s">
        <v>712</v>
      </c>
    </row>
    <row r="15" spans="1:6" ht="30" customHeight="1" x14ac:dyDescent="0.25">
      <c r="A15" s="6" t="s">
        <v>736</v>
      </c>
      <c r="B15" s="6" t="s">
        <v>737</v>
      </c>
      <c r="C15" s="7" t="s">
        <v>738</v>
      </c>
      <c r="D15" s="7" t="s">
        <v>739</v>
      </c>
      <c r="E15" s="7" t="s">
        <v>740</v>
      </c>
      <c r="F15" s="7" t="s">
        <v>702</v>
      </c>
    </row>
    <row r="16" spans="1:6" ht="30" customHeight="1" x14ac:dyDescent="0.25">
      <c r="A16" s="6" t="s">
        <v>741</v>
      </c>
      <c r="B16" s="6" t="s">
        <v>742</v>
      </c>
      <c r="C16" s="7" t="s">
        <v>738</v>
      </c>
      <c r="D16" s="7" t="s">
        <v>739</v>
      </c>
      <c r="E16" s="7" t="s">
        <v>743</v>
      </c>
      <c r="F16" s="7" t="s">
        <v>702</v>
      </c>
    </row>
    <row r="17" spans="1:6" ht="30" customHeight="1" x14ac:dyDescent="0.25">
      <c r="A17" s="6" t="s">
        <v>744</v>
      </c>
      <c r="B17" s="6" t="s">
        <v>745</v>
      </c>
      <c r="C17" s="7" t="s">
        <v>738</v>
      </c>
      <c r="D17" s="7" t="s">
        <v>739</v>
      </c>
      <c r="E17" s="7" t="s">
        <v>746</v>
      </c>
      <c r="F17" s="7" t="s">
        <v>702</v>
      </c>
    </row>
    <row r="18" spans="1:6" ht="30" customHeight="1" x14ac:dyDescent="0.25">
      <c r="A18" s="6" t="s">
        <v>747</v>
      </c>
      <c r="B18" s="6" t="s">
        <v>558</v>
      </c>
      <c r="C18" s="7" t="s">
        <v>748</v>
      </c>
      <c r="D18" s="7" t="s">
        <v>749</v>
      </c>
      <c r="E18" s="7" t="s">
        <v>750</v>
      </c>
      <c r="F18" s="7" t="s">
        <v>751</v>
      </c>
    </row>
    <row r="19" spans="1:6" ht="30" customHeight="1" x14ac:dyDescent="0.25">
      <c r="A19" s="6" t="s">
        <v>752</v>
      </c>
      <c r="B19" s="6" t="s">
        <v>753</v>
      </c>
      <c r="C19" s="7" t="s">
        <v>748</v>
      </c>
      <c r="D19" s="7" t="s">
        <v>387</v>
      </c>
      <c r="E19" s="7" t="s">
        <v>754</v>
      </c>
      <c r="F19" s="7" t="s">
        <v>751</v>
      </c>
    </row>
    <row r="20" spans="1:6" ht="30" customHeight="1" x14ac:dyDescent="0.25">
      <c r="A20" s="6" t="s">
        <v>755</v>
      </c>
      <c r="B20" s="6" t="s">
        <v>756</v>
      </c>
      <c r="C20" s="7" t="s">
        <v>704</v>
      </c>
      <c r="D20" s="7" t="s">
        <v>757</v>
      </c>
      <c r="E20" s="7" t="s">
        <v>758</v>
      </c>
      <c r="F20" s="7" t="s">
        <v>702</v>
      </c>
    </row>
    <row r="21" spans="1:6" ht="30" customHeight="1" x14ac:dyDescent="0.25">
      <c r="A21" s="6" t="s">
        <v>759</v>
      </c>
      <c r="B21" s="6" t="s">
        <v>342</v>
      </c>
      <c r="C21" s="7" t="s">
        <v>738</v>
      </c>
      <c r="D21" s="7" t="s">
        <v>760</v>
      </c>
      <c r="E21" s="7" t="s">
        <v>761</v>
      </c>
      <c r="F21" s="7" t="s">
        <v>702</v>
      </c>
    </row>
    <row r="22" spans="1:6" ht="30" customHeight="1" x14ac:dyDescent="0.25">
      <c r="A22" s="6" t="s">
        <v>762</v>
      </c>
      <c r="B22" s="6" t="s">
        <v>710</v>
      </c>
      <c r="C22" s="7" t="s">
        <v>738</v>
      </c>
      <c r="D22" s="7" t="s">
        <v>723</v>
      </c>
      <c r="E22" s="7" t="s">
        <v>763</v>
      </c>
      <c r="F22" s="7" t="s">
        <v>712</v>
      </c>
    </row>
    <row r="23" spans="1:6" ht="30" customHeight="1" x14ac:dyDescent="0.25">
      <c r="A23" s="6" t="s">
        <v>764</v>
      </c>
      <c r="B23" s="6" t="s">
        <v>765</v>
      </c>
      <c r="C23" s="7" t="s">
        <v>704</v>
      </c>
      <c r="D23" s="7" t="s">
        <v>766</v>
      </c>
      <c r="E23" s="7" t="s">
        <v>767</v>
      </c>
      <c r="F23" s="7" t="s">
        <v>712</v>
      </c>
    </row>
    <row r="24" spans="1:6" ht="30" customHeight="1" x14ac:dyDescent="0.25">
      <c r="A24" s="6" t="s">
        <v>768</v>
      </c>
      <c r="B24" s="6" t="s">
        <v>387</v>
      </c>
      <c r="C24" s="7" t="s">
        <v>738</v>
      </c>
      <c r="D24" s="7" t="s">
        <v>769</v>
      </c>
      <c r="E24" s="7" t="s">
        <v>770</v>
      </c>
      <c r="F24" s="7" t="s">
        <v>712</v>
      </c>
    </row>
    <row r="25" spans="1:6" ht="30" customHeight="1" x14ac:dyDescent="0.25">
      <c r="A25" s="6" t="s">
        <v>771</v>
      </c>
      <c r="B25" s="6" t="s">
        <v>772</v>
      </c>
      <c r="C25" s="7" t="s">
        <v>695</v>
      </c>
      <c r="D25" s="7" t="s">
        <v>249</v>
      </c>
      <c r="E25" s="7" t="s">
        <v>773</v>
      </c>
      <c r="F25" s="7" t="s">
        <v>702</v>
      </c>
    </row>
  </sheetData>
  <mergeCells count="2">
    <mergeCell ref="A2:F2"/>
    <mergeCell ref="A1:F1"/>
  </mergeCells>
  <phoneticPr fontId="12" type="noConversion"/>
  <pageMargins left="0.25" right="0.25" top="0.4" bottom="0.4" header="0.5" footer="0.5"/>
  <pageSetup orientation="portrait"/>
  <headerFooter>
    <oddHeader>&amp;C&amp;BPlaces</oddHeader>
    <oddFooter>&amp;LOkinawa NGO / Civic Organization Database&amp;CEnglish presentation edition&amp;RPage &amp;P of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B626A"/>
    <pageSetUpPr fitToPage="1"/>
  </sheetPr>
  <dimension ref="A1:N287"/>
  <sheetViews>
    <sheetView showGridLines="0" zoomScale="85" workbookViewId="0">
      <pane ySplit="4" topLeftCell="A5" activePane="bottomLeft" state="frozen"/>
      <selection pane="bottomLeft"/>
    </sheetView>
  </sheetViews>
  <sheetFormatPr defaultRowHeight="14.4" x14ac:dyDescent="0.25"/>
  <cols>
    <col min="1" max="2" width="11" customWidth="1"/>
    <col min="3" max="3" width="42" customWidth="1"/>
    <col min="4" max="4" width="11" customWidth="1"/>
    <col min="5" max="5" width="28" customWidth="1"/>
    <col min="6" max="6" width="22" customWidth="1"/>
    <col min="7" max="7" width="15" customWidth="1"/>
    <col min="8" max="8" width="23" customWidth="1"/>
    <col min="9" max="9" width="16" customWidth="1"/>
    <col min="10" max="12" width="42" customWidth="1"/>
    <col min="13" max="13" width="21" customWidth="1"/>
    <col min="14" max="14" width="42" customWidth="1"/>
  </cols>
  <sheetData>
    <row r="1" spans="1:14" ht="34.049999999999997" customHeight="1" x14ac:dyDescent="0.25">
      <c r="A1" s="21" t="s">
        <v>774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31.95" customHeight="1" x14ac:dyDescent="0.25">
      <c r="A2" s="20" t="s">
        <v>775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4" ht="34.049999999999997" customHeight="1" x14ac:dyDescent="0.25">
      <c r="A4" s="5" t="s">
        <v>776</v>
      </c>
      <c r="B4" s="5" t="s">
        <v>31</v>
      </c>
      <c r="C4" s="5" t="s">
        <v>777</v>
      </c>
      <c r="D4" s="5" t="s">
        <v>595</v>
      </c>
      <c r="E4" s="5" t="s">
        <v>596</v>
      </c>
      <c r="F4" s="5" t="s">
        <v>597</v>
      </c>
      <c r="G4" s="5" t="s">
        <v>778</v>
      </c>
      <c r="H4" s="5" t="s">
        <v>39</v>
      </c>
      <c r="I4" s="5" t="s">
        <v>38</v>
      </c>
      <c r="J4" s="5" t="s">
        <v>779</v>
      </c>
      <c r="K4" s="5" t="s">
        <v>780</v>
      </c>
      <c r="L4" s="5" t="s">
        <v>781</v>
      </c>
      <c r="M4" s="5" t="s">
        <v>41</v>
      </c>
      <c r="N4" s="5" t="s">
        <v>782</v>
      </c>
    </row>
    <row r="5" spans="1:14" ht="30" customHeight="1" x14ac:dyDescent="0.25">
      <c r="A5" s="6" t="s">
        <v>783</v>
      </c>
      <c r="B5" s="6" t="s">
        <v>42</v>
      </c>
      <c r="C5" s="7" t="s">
        <v>43</v>
      </c>
      <c r="D5" s="7" t="s">
        <v>613</v>
      </c>
      <c r="E5" s="7" t="s">
        <v>614</v>
      </c>
      <c r="F5" s="7" t="s">
        <v>615</v>
      </c>
      <c r="G5" s="7" t="s">
        <v>14</v>
      </c>
      <c r="H5" s="7" t="s">
        <v>49</v>
      </c>
      <c r="I5" s="7" t="s">
        <v>48</v>
      </c>
      <c r="J5" s="7" t="s">
        <v>784</v>
      </c>
      <c r="K5" s="7" t="s">
        <v>785</v>
      </c>
      <c r="L5" s="7" t="s">
        <v>786</v>
      </c>
      <c r="M5" s="7" t="s">
        <v>787</v>
      </c>
      <c r="N5" s="7" t="s">
        <v>788</v>
      </c>
    </row>
    <row r="6" spans="1:14" ht="30" customHeight="1" x14ac:dyDescent="0.25">
      <c r="A6" s="6" t="s">
        <v>789</v>
      </c>
      <c r="B6" s="6" t="s">
        <v>42</v>
      </c>
      <c r="C6" s="7" t="s">
        <v>43</v>
      </c>
      <c r="D6" s="7" t="s">
        <v>640</v>
      </c>
      <c r="E6" s="7" t="s">
        <v>641</v>
      </c>
      <c r="F6" s="7" t="s">
        <v>642</v>
      </c>
      <c r="G6" s="7" t="s">
        <v>14</v>
      </c>
      <c r="H6" s="7" t="s">
        <v>49</v>
      </c>
      <c r="I6" s="7" t="s">
        <v>48</v>
      </c>
      <c r="J6" s="7" t="s">
        <v>784</v>
      </c>
      <c r="K6" s="7" t="s">
        <v>790</v>
      </c>
      <c r="L6" s="7" t="s">
        <v>791</v>
      </c>
      <c r="M6" s="7" t="s">
        <v>787</v>
      </c>
      <c r="N6" s="7" t="s">
        <v>788</v>
      </c>
    </row>
    <row r="7" spans="1:14" ht="30" customHeight="1" x14ac:dyDescent="0.25">
      <c r="A7" s="6" t="s">
        <v>792</v>
      </c>
      <c r="B7" s="6" t="s">
        <v>42</v>
      </c>
      <c r="C7" s="7" t="s">
        <v>43</v>
      </c>
      <c r="D7" s="7" t="s">
        <v>609</v>
      </c>
      <c r="E7" s="7" t="s">
        <v>610</v>
      </c>
      <c r="F7" s="7" t="s">
        <v>611</v>
      </c>
      <c r="G7" s="7" t="s">
        <v>14</v>
      </c>
      <c r="H7" s="7" t="s">
        <v>49</v>
      </c>
      <c r="I7" s="7" t="s">
        <v>48</v>
      </c>
      <c r="J7" s="7" t="s">
        <v>784</v>
      </c>
      <c r="K7" s="7" t="s">
        <v>793</v>
      </c>
      <c r="L7" s="7" t="s">
        <v>786</v>
      </c>
      <c r="M7" s="7" t="s">
        <v>787</v>
      </c>
      <c r="N7" s="7" t="s">
        <v>788</v>
      </c>
    </row>
    <row r="8" spans="1:14" ht="30" customHeight="1" x14ac:dyDescent="0.25">
      <c r="A8" s="6" t="s">
        <v>794</v>
      </c>
      <c r="B8" s="6" t="s">
        <v>52</v>
      </c>
      <c r="C8" s="7" t="s">
        <v>53</v>
      </c>
      <c r="D8" s="7" t="s">
        <v>613</v>
      </c>
      <c r="E8" s="7" t="s">
        <v>614</v>
      </c>
      <c r="F8" s="7" t="s">
        <v>615</v>
      </c>
      <c r="G8" s="7" t="s">
        <v>13</v>
      </c>
      <c r="H8" s="7" t="s">
        <v>58</v>
      </c>
      <c r="I8" s="7" t="s">
        <v>48</v>
      </c>
      <c r="J8" s="7" t="s">
        <v>784</v>
      </c>
      <c r="K8" s="7" t="s">
        <v>795</v>
      </c>
      <c r="L8" s="7" t="s">
        <v>796</v>
      </c>
      <c r="M8" s="7" t="s">
        <v>797</v>
      </c>
      <c r="N8" s="7" t="s">
        <v>788</v>
      </c>
    </row>
    <row r="9" spans="1:14" ht="30" customHeight="1" x14ac:dyDescent="0.25">
      <c r="A9" s="6" t="s">
        <v>798</v>
      </c>
      <c r="B9" s="6" t="s">
        <v>52</v>
      </c>
      <c r="C9" s="7" t="s">
        <v>53</v>
      </c>
      <c r="D9" s="7" t="s">
        <v>640</v>
      </c>
      <c r="E9" s="7" t="s">
        <v>641</v>
      </c>
      <c r="F9" s="7" t="s">
        <v>642</v>
      </c>
      <c r="G9" s="7" t="s">
        <v>13</v>
      </c>
      <c r="H9" s="7" t="s">
        <v>58</v>
      </c>
      <c r="I9" s="7" t="s">
        <v>48</v>
      </c>
      <c r="J9" s="7" t="s">
        <v>784</v>
      </c>
      <c r="K9" s="7" t="s">
        <v>799</v>
      </c>
      <c r="L9" s="7" t="s">
        <v>796</v>
      </c>
      <c r="M9" s="7" t="s">
        <v>800</v>
      </c>
      <c r="N9" s="7" t="s">
        <v>788</v>
      </c>
    </row>
    <row r="10" spans="1:14" ht="30" customHeight="1" x14ac:dyDescent="0.25">
      <c r="A10" s="6" t="s">
        <v>801</v>
      </c>
      <c r="B10" s="6" t="s">
        <v>60</v>
      </c>
      <c r="C10" s="7" t="s">
        <v>61</v>
      </c>
      <c r="D10" s="7" t="s">
        <v>613</v>
      </c>
      <c r="E10" s="7" t="s">
        <v>614</v>
      </c>
      <c r="F10" s="7" t="s">
        <v>615</v>
      </c>
      <c r="G10" s="7" t="s">
        <v>14</v>
      </c>
      <c r="H10" s="7" t="s">
        <v>67</v>
      </c>
      <c r="I10" s="7" t="s">
        <v>66</v>
      </c>
      <c r="J10" s="7" t="s">
        <v>802</v>
      </c>
      <c r="K10" s="7" t="s">
        <v>803</v>
      </c>
      <c r="L10" s="7" t="s">
        <v>791</v>
      </c>
      <c r="M10" s="7" t="s">
        <v>68</v>
      </c>
      <c r="N10" s="7" t="s">
        <v>788</v>
      </c>
    </row>
    <row r="11" spans="1:14" ht="30" customHeight="1" x14ac:dyDescent="0.25">
      <c r="A11" s="6" t="s">
        <v>804</v>
      </c>
      <c r="B11" s="6" t="s">
        <v>60</v>
      </c>
      <c r="C11" s="7" t="s">
        <v>61</v>
      </c>
      <c r="D11" s="7" t="s">
        <v>617</v>
      </c>
      <c r="E11" s="7" t="s">
        <v>618</v>
      </c>
      <c r="F11" s="7" t="s">
        <v>615</v>
      </c>
      <c r="G11" s="7" t="s">
        <v>14</v>
      </c>
      <c r="H11" s="7" t="s">
        <v>67</v>
      </c>
      <c r="I11" s="7" t="s">
        <v>66</v>
      </c>
      <c r="J11" s="7" t="s">
        <v>802</v>
      </c>
      <c r="K11" s="7" t="s">
        <v>805</v>
      </c>
      <c r="L11" s="7" t="s">
        <v>791</v>
      </c>
      <c r="M11" s="7" t="s">
        <v>68</v>
      </c>
      <c r="N11" s="7" t="s">
        <v>788</v>
      </c>
    </row>
    <row r="12" spans="1:14" ht="30" customHeight="1" x14ac:dyDescent="0.25">
      <c r="A12" s="6" t="s">
        <v>806</v>
      </c>
      <c r="B12" s="6" t="s">
        <v>69</v>
      </c>
      <c r="C12" s="7" t="s">
        <v>70</v>
      </c>
      <c r="D12" s="7" t="s">
        <v>617</v>
      </c>
      <c r="E12" s="7" t="s">
        <v>618</v>
      </c>
      <c r="F12" s="7" t="s">
        <v>615</v>
      </c>
      <c r="G12" s="7" t="s">
        <v>14</v>
      </c>
      <c r="H12" s="7" t="s">
        <v>49</v>
      </c>
      <c r="I12" s="7" t="s">
        <v>48</v>
      </c>
      <c r="J12" s="7" t="s">
        <v>807</v>
      </c>
      <c r="K12" s="7" t="s">
        <v>808</v>
      </c>
      <c r="L12" s="7" t="s">
        <v>791</v>
      </c>
      <c r="M12" s="7" t="s">
        <v>74</v>
      </c>
      <c r="N12" s="7" t="s">
        <v>788</v>
      </c>
    </row>
    <row r="13" spans="1:14" ht="30" customHeight="1" x14ac:dyDescent="0.25">
      <c r="A13" s="6" t="s">
        <v>809</v>
      </c>
      <c r="B13" s="6" t="s">
        <v>69</v>
      </c>
      <c r="C13" s="7" t="s">
        <v>70</v>
      </c>
      <c r="D13" s="7" t="s">
        <v>609</v>
      </c>
      <c r="E13" s="7" t="s">
        <v>610</v>
      </c>
      <c r="F13" s="7" t="s">
        <v>611</v>
      </c>
      <c r="G13" s="7" t="s">
        <v>14</v>
      </c>
      <c r="H13" s="7" t="s">
        <v>49</v>
      </c>
      <c r="I13" s="7" t="s">
        <v>48</v>
      </c>
      <c r="J13" s="7" t="s">
        <v>807</v>
      </c>
      <c r="K13" s="7" t="s">
        <v>810</v>
      </c>
      <c r="L13" s="7" t="s">
        <v>791</v>
      </c>
      <c r="M13" s="7" t="s">
        <v>74</v>
      </c>
      <c r="N13" s="7" t="s">
        <v>788</v>
      </c>
    </row>
    <row r="14" spans="1:14" ht="30" customHeight="1" x14ac:dyDescent="0.25">
      <c r="A14" s="6" t="s">
        <v>811</v>
      </c>
      <c r="B14" s="6" t="s">
        <v>75</v>
      </c>
      <c r="C14" s="7" t="s">
        <v>76</v>
      </c>
      <c r="D14" s="7" t="s">
        <v>613</v>
      </c>
      <c r="E14" s="7" t="s">
        <v>614</v>
      </c>
      <c r="F14" s="7" t="s">
        <v>615</v>
      </c>
      <c r="G14" s="7" t="s">
        <v>14</v>
      </c>
      <c r="H14" s="7" t="s">
        <v>49</v>
      </c>
      <c r="I14" s="7" t="s">
        <v>48</v>
      </c>
      <c r="J14" s="7" t="s">
        <v>807</v>
      </c>
      <c r="K14" s="7" t="s">
        <v>812</v>
      </c>
      <c r="L14" s="7" t="s">
        <v>791</v>
      </c>
      <c r="M14" s="7" t="s">
        <v>68</v>
      </c>
      <c r="N14" s="7" t="s">
        <v>788</v>
      </c>
    </row>
    <row r="15" spans="1:14" ht="30" customHeight="1" x14ac:dyDescent="0.25">
      <c r="A15" s="6" t="s">
        <v>813</v>
      </c>
      <c r="B15" s="6" t="s">
        <v>75</v>
      </c>
      <c r="C15" s="7" t="s">
        <v>76</v>
      </c>
      <c r="D15" s="7" t="s">
        <v>617</v>
      </c>
      <c r="E15" s="7" t="s">
        <v>618</v>
      </c>
      <c r="F15" s="7" t="s">
        <v>615</v>
      </c>
      <c r="G15" s="7" t="s">
        <v>14</v>
      </c>
      <c r="H15" s="7" t="s">
        <v>49</v>
      </c>
      <c r="I15" s="7" t="s">
        <v>48</v>
      </c>
      <c r="J15" s="7" t="s">
        <v>807</v>
      </c>
      <c r="K15" s="7" t="s">
        <v>812</v>
      </c>
      <c r="L15" s="7" t="s">
        <v>791</v>
      </c>
      <c r="M15" s="7" t="s">
        <v>68</v>
      </c>
      <c r="N15" s="7" t="s">
        <v>788</v>
      </c>
    </row>
    <row r="16" spans="1:14" ht="30" customHeight="1" x14ac:dyDescent="0.25">
      <c r="A16" s="6" t="s">
        <v>814</v>
      </c>
      <c r="B16" s="6" t="s">
        <v>79</v>
      </c>
      <c r="C16" s="7" t="s">
        <v>80</v>
      </c>
      <c r="D16" s="7" t="s">
        <v>617</v>
      </c>
      <c r="E16" s="7" t="s">
        <v>618</v>
      </c>
      <c r="F16" s="7" t="s">
        <v>615</v>
      </c>
      <c r="G16" s="7" t="s">
        <v>14</v>
      </c>
      <c r="H16" s="7" t="s">
        <v>49</v>
      </c>
      <c r="I16" s="7" t="s">
        <v>48</v>
      </c>
      <c r="J16" s="7" t="s">
        <v>807</v>
      </c>
      <c r="K16" s="7" t="s">
        <v>803</v>
      </c>
      <c r="L16" s="7" t="s">
        <v>791</v>
      </c>
      <c r="M16" s="7" t="s">
        <v>68</v>
      </c>
      <c r="N16" s="7" t="s">
        <v>788</v>
      </c>
    </row>
    <row r="17" spans="1:14" ht="30" customHeight="1" x14ac:dyDescent="0.25">
      <c r="A17" s="6" t="s">
        <v>815</v>
      </c>
      <c r="B17" s="6" t="s">
        <v>79</v>
      </c>
      <c r="C17" s="7" t="s">
        <v>80</v>
      </c>
      <c r="D17" s="7" t="s">
        <v>600</v>
      </c>
      <c r="E17" s="7" t="s">
        <v>601</v>
      </c>
      <c r="F17" s="7" t="s">
        <v>602</v>
      </c>
      <c r="G17" s="7" t="s">
        <v>14</v>
      </c>
      <c r="H17" s="7" t="s">
        <v>49</v>
      </c>
      <c r="I17" s="7" t="s">
        <v>48</v>
      </c>
      <c r="J17" s="7" t="s">
        <v>807</v>
      </c>
      <c r="K17" s="7" t="s">
        <v>816</v>
      </c>
      <c r="L17" s="7" t="s">
        <v>791</v>
      </c>
      <c r="M17" s="7" t="s">
        <v>68</v>
      </c>
      <c r="N17" s="7" t="s">
        <v>788</v>
      </c>
    </row>
    <row r="18" spans="1:14" ht="30" customHeight="1" x14ac:dyDescent="0.25">
      <c r="A18" s="6" t="s">
        <v>817</v>
      </c>
      <c r="B18" s="6" t="s">
        <v>83</v>
      </c>
      <c r="C18" s="7" t="s">
        <v>84</v>
      </c>
      <c r="D18" s="7" t="s">
        <v>665</v>
      </c>
      <c r="E18" s="7" t="s">
        <v>666</v>
      </c>
      <c r="F18" s="7" t="s">
        <v>667</v>
      </c>
      <c r="G18" s="7" t="s">
        <v>14</v>
      </c>
      <c r="H18" s="7" t="s">
        <v>49</v>
      </c>
      <c r="I18" s="7" t="s">
        <v>48</v>
      </c>
      <c r="J18" s="7" t="s">
        <v>807</v>
      </c>
      <c r="K18" s="7" t="s">
        <v>818</v>
      </c>
      <c r="L18" s="7" t="s">
        <v>791</v>
      </c>
      <c r="M18" s="7" t="s">
        <v>88</v>
      </c>
      <c r="N18" s="7" t="s">
        <v>788</v>
      </c>
    </row>
    <row r="19" spans="1:14" ht="30" customHeight="1" x14ac:dyDescent="0.25">
      <c r="A19" s="6" t="s">
        <v>819</v>
      </c>
      <c r="B19" s="6" t="s">
        <v>83</v>
      </c>
      <c r="C19" s="7" t="s">
        <v>84</v>
      </c>
      <c r="D19" s="7" t="s">
        <v>600</v>
      </c>
      <c r="E19" s="7" t="s">
        <v>601</v>
      </c>
      <c r="F19" s="7" t="s">
        <v>602</v>
      </c>
      <c r="G19" s="7" t="s">
        <v>14</v>
      </c>
      <c r="H19" s="7" t="s">
        <v>49</v>
      </c>
      <c r="I19" s="7" t="s">
        <v>48</v>
      </c>
      <c r="J19" s="7" t="s">
        <v>807</v>
      </c>
      <c r="K19" s="7" t="s">
        <v>818</v>
      </c>
      <c r="L19" s="7" t="s">
        <v>791</v>
      </c>
      <c r="M19" s="7" t="s">
        <v>88</v>
      </c>
      <c r="N19" s="7" t="s">
        <v>788</v>
      </c>
    </row>
    <row r="20" spans="1:14" ht="30" customHeight="1" x14ac:dyDescent="0.25">
      <c r="A20" s="6" t="s">
        <v>820</v>
      </c>
      <c r="B20" s="6" t="s">
        <v>83</v>
      </c>
      <c r="C20" s="7" t="s">
        <v>84</v>
      </c>
      <c r="D20" s="7" t="s">
        <v>640</v>
      </c>
      <c r="E20" s="7" t="s">
        <v>641</v>
      </c>
      <c r="F20" s="7" t="s">
        <v>642</v>
      </c>
      <c r="G20" s="7" t="s">
        <v>13</v>
      </c>
      <c r="H20" s="7" t="s">
        <v>58</v>
      </c>
      <c r="I20" s="7" t="s">
        <v>48</v>
      </c>
      <c r="J20" s="7" t="s">
        <v>807</v>
      </c>
      <c r="K20" s="7" t="s">
        <v>821</v>
      </c>
      <c r="L20" s="7" t="s">
        <v>791</v>
      </c>
      <c r="M20" s="7" t="s">
        <v>88</v>
      </c>
      <c r="N20" s="7" t="s">
        <v>788</v>
      </c>
    </row>
    <row r="21" spans="1:14" ht="30" customHeight="1" x14ac:dyDescent="0.25">
      <c r="A21" s="6" t="s">
        <v>822</v>
      </c>
      <c r="B21" s="6" t="s">
        <v>89</v>
      </c>
      <c r="C21" s="7" t="s">
        <v>90</v>
      </c>
      <c r="D21" s="7" t="s">
        <v>665</v>
      </c>
      <c r="E21" s="7" t="s">
        <v>666</v>
      </c>
      <c r="F21" s="7" t="s">
        <v>667</v>
      </c>
      <c r="G21" s="7" t="s">
        <v>13</v>
      </c>
      <c r="H21" s="7" t="s">
        <v>58</v>
      </c>
      <c r="I21" s="7" t="s">
        <v>48</v>
      </c>
      <c r="J21" s="7" t="s">
        <v>802</v>
      </c>
      <c r="K21" s="7" t="s">
        <v>823</v>
      </c>
      <c r="L21" s="7" t="s">
        <v>786</v>
      </c>
      <c r="M21" s="7" t="s">
        <v>824</v>
      </c>
      <c r="N21" s="7" t="s">
        <v>788</v>
      </c>
    </row>
    <row r="22" spans="1:14" ht="30" customHeight="1" x14ac:dyDescent="0.25">
      <c r="A22" s="6" t="s">
        <v>825</v>
      </c>
      <c r="B22" s="6" t="s">
        <v>89</v>
      </c>
      <c r="C22" s="7" t="s">
        <v>90</v>
      </c>
      <c r="D22" s="7" t="s">
        <v>600</v>
      </c>
      <c r="E22" s="7" t="s">
        <v>601</v>
      </c>
      <c r="F22" s="7" t="s">
        <v>602</v>
      </c>
      <c r="G22" s="7" t="s">
        <v>13</v>
      </c>
      <c r="H22" s="7" t="s">
        <v>58</v>
      </c>
      <c r="I22" s="7" t="s">
        <v>66</v>
      </c>
      <c r="J22" s="7" t="s">
        <v>802</v>
      </c>
      <c r="K22" s="7" t="s">
        <v>826</v>
      </c>
      <c r="L22" s="7" t="s">
        <v>791</v>
      </c>
      <c r="M22" s="7" t="s">
        <v>827</v>
      </c>
      <c r="N22" s="7" t="s">
        <v>788</v>
      </c>
    </row>
    <row r="23" spans="1:14" ht="30" customHeight="1" x14ac:dyDescent="0.25">
      <c r="A23" s="6" t="s">
        <v>828</v>
      </c>
      <c r="B23" s="6" t="s">
        <v>95</v>
      </c>
      <c r="C23" s="7" t="s">
        <v>96</v>
      </c>
      <c r="D23" s="7" t="s">
        <v>636</v>
      </c>
      <c r="E23" s="7" t="s">
        <v>637</v>
      </c>
      <c r="F23" s="7" t="s">
        <v>638</v>
      </c>
      <c r="G23" s="7" t="s">
        <v>14</v>
      </c>
      <c r="H23" s="7" t="s">
        <v>49</v>
      </c>
      <c r="I23" s="7" t="s">
        <v>48</v>
      </c>
      <c r="J23" s="7" t="s">
        <v>784</v>
      </c>
      <c r="K23" s="7" t="s">
        <v>829</v>
      </c>
      <c r="L23" s="7" t="s">
        <v>796</v>
      </c>
      <c r="M23" s="7" t="s">
        <v>100</v>
      </c>
      <c r="N23" s="7" t="s">
        <v>788</v>
      </c>
    </row>
    <row r="24" spans="1:14" ht="30" customHeight="1" x14ac:dyDescent="0.25">
      <c r="A24" s="6" t="s">
        <v>830</v>
      </c>
      <c r="B24" s="6" t="s">
        <v>95</v>
      </c>
      <c r="C24" s="7" t="s">
        <v>96</v>
      </c>
      <c r="D24" s="7" t="s">
        <v>613</v>
      </c>
      <c r="E24" s="7" t="s">
        <v>614</v>
      </c>
      <c r="F24" s="7" t="s">
        <v>615</v>
      </c>
      <c r="G24" s="7" t="s">
        <v>14</v>
      </c>
      <c r="H24" s="7" t="s">
        <v>49</v>
      </c>
      <c r="I24" s="7" t="s">
        <v>48</v>
      </c>
      <c r="J24" s="7" t="s">
        <v>784</v>
      </c>
      <c r="K24" s="7" t="s">
        <v>829</v>
      </c>
      <c r="L24" s="7" t="s">
        <v>796</v>
      </c>
      <c r="M24" s="7" t="s">
        <v>100</v>
      </c>
      <c r="N24" s="7" t="s">
        <v>788</v>
      </c>
    </row>
    <row r="25" spans="1:14" ht="30" customHeight="1" x14ac:dyDescent="0.25">
      <c r="A25" s="6" t="s">
        <v>831</v>
      </c>
      <c r="B25" s="6" t="s">
        <v>95</v>
      </c>
      <c r="C25" s="7" t="s">
        <v>96</v>
      </c>
      <c r="D25" s="7" t="s">
        <v>640</v>
      </c>
      <c r="E25" s="7" t="s">
        <v>641</v>
      </c>
      <c r="F25" s="7" t="s">
        <v>642</v>
      </c>
      <c r="G25" s="7" t="s">
        <v>13</v>
      </c>
      <c r="H25" s="7" t="s">
        <v>58</v>
      </c>
      <c r="I25" s="7" t="s">
        <v>48</v>
      </c>
      <c r="J25" s="7" t="s">
        <v>784</v>
      </c>
      <c r="K25" s="7" t="s">
        <v>821</v>
      </c>
      <c r="L25" s="7" t="s">
        <v>796</v>
      </c>
      <c r="M25" s="7" t="s">
        <v>832</v>
      </c>
      <c r="N25" s="7" t="s">
        <v>788</v>
      </c>
    </row>
    <row r="26" spans="1:14" ht="30" customHeight="1" x14ac:dyDescent="0.25">
      <c r="A26" s="6" t="s">
        <v>833</v>
      </c>
      <c r="B26" s="6" t="s">
        <v>101</v>
      </c>
      <c r="C26" s="7" t="s">
        <v>102</v>
      </c>
      <c r="D26" s="7" t="s">
        <v>605</v>
      </c>
      <c r="E26" s="7" t="s">
        <v>606</v>
      </c>
      <c r="F26" s="7" t="s">
        <v>607</v>
      </c>
      <c r="G26" s="7" t="s">
        <v>14</v>
      </c>
      <c r="H26" s="7" t="s">
        <v>49</v>
      </c>
      <c r="I26" s="7" t="s">
        <v>48</v>
      </c>
      <c r="J26" s="7" t="s">
        <v>802</v>
      </c>
      <c r="K26" s="7" t="s">
        <v>834</v>
      </c>
      <c r="L26" s="7" t="s">
        <v>786</v>
      </c>
      <c r="M26" s="7" t="s">
        <v>835</v>
      </c>
      <c r="N26" s="7" t="s">
        <v>788</v>
      </c>
    </row>
    <row r="27" spans="1:14" ht="30" customHeight="1" x14ac:dyDescent="0.25">
      <c r="A27" s="6" t="s">
        <v>836</v>
      </c>
      <c r="B27" s="6" t="s">
        <v>101</v>
      </c>
      <c r="C27" s="7" t="s">
        <v>102</v>
      </c>
      <c r="D27" s="7" t="s">
        <v>620</v>
      </c>
      <c r="E27" s="7" t="s">
        <v>621</v>
      </c>
      <c r="F27" s="7" t="s">
        <v>622</v>
      </c>
      <c r="G27" s="7" t="s">
        <v>14</v>
      </c>
      <c r="H27" s="7" t="s">
        <v>49</v>
      </c>
      <c r="I27" s="7" t="s">
        <v>48</v>
      </c>
      <c r="J27" s="7" t="s">
        <v>802</v>
      </c>
      <c r="K27" s="7" t="s">
        <v>837</v>
      </c>
      <c r="L27" s="7" t="s">
        <v>791</v>
      </c>
      <c r="M27" s="7" t="s">
        <v>838</v>
      </c>
      <c r="N27" s="7" t="s">
        <v>788</v>
      </c>
    </row>
    <row r="28" spans="1:14" ht="30" customHeight="1" x14ac:dyDescent="0.25">
      <c r="A28" s="6" t="s">
        <v>839</v>
      </c>
      <c r="B28" s="6" t="s">
        <v>101</v>
      </c>
      <c r="C28" s="7" t="s">
        <v>102</v>
      </c>
      <c r="D28" s="7" t="s">
        <v>629</v>
      </c>
      <c r="E28" s="7" t="s">
        <v>630</v>
      </c>
      <c r="F28" s="7" t="s">
        <v>631</v>
      </c>
      <c r="G28" s="7" t="s">
        <v>14</v>
      </c>
      <c r="H28" s="7" t="s">
        <v>49</v>
      </c>
      <c r="I28" s="7" t="s">
        <v>66</v>
      </c>
      <c r="J28" s="7" t="s">
        <v>802</v>
      </c>
      <c r="K28" s="7" t="s">
        <v>840</v>
      </c>
      <c r="L28" s="7" t="s">
        <v>786</v>
      </c>
      <c r="M28" s="7" t="s">
        <v>841</v>
      </c>
      <c r="N28" s="7" t="s">
        <v>788</v>
      </c>
    </row>
    <row r="29" spans="1:14" ht="30" customHeight="1" x14ac:dyDescent="0.25">
      <c r="A29" s="6" t="s">
        <v>842</v>
      </c>
      <c r="B29" s="6" t="s">
        <v>106</v>
      </c>
      <c r="C29" s="7" t="s">
        <v>107</v>
      </c>
      <c r="D29" s="7" t="s">
        <v>633</v>
      </c>
      <c r="E29" s="7" t="s">
        <v>634</v>
      </c>
      <c r="F29" s="7" t="s">
        <v>631</v>
      </c>
      <c r="G29" s="7" t="s">
        <v>13</v>
      </c>
      <c r="H29" s="7" t="s">
        <v>109</v>
      </c>
      <c r="I29" s="7" t="s">
        <v>66</v>
      </c>
      <c r="J29" s="7" t="s">
        <v>802</v>
      </c>
      <c r="K29" s="7" t="s">
        <v>821</v>
      </c>
      <c r="L29" s="7" t="s">
        <v>796</v>
      </c>
      <c r="M29" s="7" t="s">
        <v>843</v>
      </c>
      <c r="N29" s="7" t="s">
        <v>788</v>
      </c>
    </row>
    <row r="30" spans="1:14" ht="30" customHeight="1" x14ac:dyDescent="0.25">
      <c r="A30" s="6" t="s">
        <v>844</v>
      </c>
      <c r="B30" s="6" t="s">
        <v>106</v>
      </c>
      <c r="C30" s="7" t="s">
        <v>107</v>
      </c>
      <c r="D30" s="7" t="s">
        <v>629</v>
      </c>
      <c r="E30" s="7" t="s">
        <v>630</v>
      </c>
      <c r="F30" s="7" t="s">
        <v>631</v>
      </c>
      <c r="G30" s="7" t="s">
        <v>14</v>
      </c>
      <c r="H30" s="7" t="s">
        <v>49</v>
      </c>
      <c r="I30" s="7" t="s">
        <v>48</v>
      </c>
      <c r="J30" s="7" t="s">
        <v>802</v>
      </c>
      <c r="K30" s="7" t="s">
        <v>845</v>
      </c>
      <c r="L30" s="7" t="s">
        <v>786</v>
      </c>
      <c r="M30" s="7" t="s">
        <v>843</v>
      </c>
      <c r="N30" s="7" t="s">
        <v>788</v>
      </c>
    </row>
    <row r="31" spans="1:14" ht="30" customHeight="1" x14ac:dyDescent="0.25">
      <c r="A31" s="6" t="s">
        <v>846</v>
      </c>
      <c r="B31" s="6" t="s">
        <v>106</v>
      </c>
      <c r="C31" s="7" t="s">
        <v>107</v>
      </c>
      <c r="D31" s="7" t="s">
        <v>605</v>
      </c>
      <c r="E31" s="7" t="s">
        <v>606</v>
      </c>
      <c r="F31" s="7" t="s">
        <v>607</v>
      </c>
      <c r="G31" s="7" t="s">
        <v>13</v>
      </c>
      <c r="H31" s="7" t="s">
        <v>109</v>
      </c>
      <c r="I31" s="7" t="s">
        <v>66</v>
      </c>
      <c r="J31" s="7" t="s">
        <v>802</v>
      </c>
      <c r="K31" s="7" t="s">
        <v>821</v>
      </c>
      <c r="L31" s="7" t="s">
        <v>796</v>
      </c>
      <c r="M31" s="7" t="s">
        <v>843</v>
      </c>
      <c r="N31" s="7" t="s">
        <v>788</v>
      </c>
    </row>
    <row r="32" spans="1:14" ht="30" customHeight="1" x14ac:dyDescent="0.25">
      <c r="A32" s="6" t="s">
        <v>847</v>
      </c>
      <c r="B32" s="6" t="s">
        <v>111</v>
      </c>
      <c r="C32" s="7" t="s">
        <v>112</v>
      </c>
      <c r="D32" s="7" t="s">
        <v>620</v>
      </c>
      <c r="E32" s="7" t="s">
        <v>621</v>
      </c>
      <c r="F32" s="7" t="s">
        <v>622</v>
      </c>
      <c r="G32" s="7" t="s">
        <v>14</v>
      </c>
      <c r="H32" s="7" t="s">
        <v>67</v>
      </c>
      <c r="I32" s="7" t="s">
        <v>66</v>
      </c>
      <c r="J32" s="7" t="s">
        <v>802</v>
      </c>
      <c r="K32" s="7" t="s">
        <v>848</v>
      </c>
      <c r="L32" s="7" t="s">
        <v>791</v>
      </c>
      <c r="M32" s="7" t="s">
        <v>115</v>
      </c>
      <c r="N32" s="7" t="s">
        <v>788</v>
      </c>
    </row>
    <row r="33" spans="1:14" ht="30" customHeight="1" x14ac:dyDescent="0.25">
      <c r="A33" s="6" t="s">
        <v>849</v>
      </c>
      <c r="B33" s="6" t="s">
        <v>111</v>
      </c>
      <c r="C33" s="7" t="s">
        <v>112</v>
      </c>
      <c r="D33" s="7" t="s">
        <v>605</v>
      </c>
      <c r="E33" s="7" t="s">
        <v>606</v>
      </c>
      <c r="F33" s="7" t="s">
        <v>607</v>
      </c>
      <c r="G33" s="7" t="s">
        <v>14</v>
      </c>
      <c r="H33" s="7" t="s">
        <v>67</v>
      </c>
      <c r="I33" s="7" t="s">
        <v>66</v>
      </c>
      <c r="J33" s="7" t="s">
        <v>802</v>
      </c>
      <c r="K33" s="7" t="s">
        <v>850</v>
      </c>
      <c r="L33" s="7" t="s">
        <v>791</v>
      </c>
      <c r="M33" s="7" t="s">
        <v>115</v>
      </c>
      <c r="N33" s="7" t="s">
        <v>788</v>
      </c>
    </row>
    <row r="34" spans="1:14" ht="30" customHeight="1" x14ac:dyDescent="0.25">
      <c r="A34" s="6" t="s">
        <v>851</v>
      </c>
      <c r="B34" s="6" t="s">
        <v>111</v>
      </c>
      <c r="C34" s="7" t="s">
        <v>112</v>
      </c>
      <c r="D34" s="7" t="s">
        <v>624</v>
      </c>
      <c r="E34" s="7" t="s">
        <v>622</v>
      </c>
      <c r="F34" s="7" t="s">
        <v>622</v>
      </c>
      <c r="G34" s="7" t="s">
        <v>14</v>
      </c>
      <c r="H34" s="7" t="s">
        <v>67</v>
      </c>
      <c r="I34" s="7" t="s">
        <v>66</v>
      </c>
      <c r="J34" s="7" t="s">
        <v>802</v>
      </c>
      <c r="K34" s="7" t="s">
        <v>852</v>
      </c>
      <c r="L34" s="7" t="s">
        <v>791</v>
      </c>
      <c r="M34" s="7" t="s">
        <v>115</v>
      </c>
      <c r="N34" s="7" t="s">
        <v>788</v>
      </c>
    </row>
    <row r="35" spans="1:14" ht="30" customHeight="1" x14ac:dyDescent="0.25">
      <c r="A35" s="6" t="s">
        <v>853</v>
      </c>
      <c r="B35" s="6" t="s">
        <v>116</v>
      </c>
      <c r="C35" s="7" t="s">
        <v>117</v>
      </c>
      <c r="D35" s="7" t="s">
        <v>605</v>
      </c>
      <c r="E35" s="7" t="s">
        <v>606</v>
      </c>
      <c r="F35" s="7" t="s">
        <v>607</v>
      </c>
      <c r="G35" s="7" t="s">
        <v>14</v>
      </c>
      <c r="H35" s="7" t="s">
        <v>49</v>
      </c>
      <c r="I35" s="7" t="s">
        <v>48</v>
      </c>
      <c r="J35" s="7" t="s">
        <v>802</v>
      </c>
      <c r="K35" s="7" t="s">
        <v>854</v>
      </c>
      <c r="L35" s="7" t="s">
        <v>786</v>
      </c>
      <c r="M35" s="7" t="s">
        <v>119</v>
      </c>
      <c r="N35" s="7" t="s">
        <v>788</v>
      </c>
    </row>
    <row r="36" spans="1:14" ht="30" customHeight="1" x14ac:dyDescent="0.25">
      <c r="A36" s="6" t="s">
        <v>855</v>
      </c>
      <c r="B36" s="6" t="s">
        <v>116</v>
      </c>
      <c r="C36" s="7" t="s">
        <v>117</v>
      </c>
      <c r="D36" s="7" t="s">
        <v>620</v>
      </c>
      <c r="E36" s="7" t="s">
        <v>621</v>
      </c>
      <c r="F36" s="7" t="s">
        <v>622</v>
      </c>
      <c r="G36" s="7" t="s">
        <v>14</v>
      </c>
      <c r="H36" s="7" t="s">
        <v>49</v>
      </c>
      <c r="I36" s="7" t="s">
        <v>66</v>
      </c>
      <c r="J36" s="7" t="s">
        <v>802</v>
      </c>
      <c r="K36" s="7" t="s">
        <v>856</v>
      </c>
      <c r="L36" s="7" t="s">
        <v>786</v>
      </c>
      <c r="M36" s="7" t="s">
        <v>119</v>
      </c>
      <c r="N36" s="7" t="s">
        <v>788</v>
      </c>
    </row>
    <row r="37" spans="1:14" ht="30" customHeight="1" x14ac:dyDescent="0.25">
      <c r="A37" s="6" t="s">
        <v>857</v>
      </c>
      <c r="B37" s="6" t="s">
        <v>116</v>
      </c>
      <c r="C37" s="7" t="s">
        <v>117</v>
      </c>
      <c r="D37" s="7" t="s">
        <v>624</v>
      </c>
      <c r="E37" s="7" t="s">
        <v>622</v>
      </c>
      <c r="F37" s="7" t="s">
        <v>622</v>
      </c>
      <c r="G37" s="7" t="s">
        <v>14</v>
      </c>
      <c r="H37" s="7" t="s">
        <v>49</v>
      </c>
      <c r="I37" s="7" t="s">
        <v>66</v>
      </c>
      <c r="J37" s="7" t="s">
        <v>802</v>
      </c>
      <c r="K37" s="7" t="s">
        <v>858</v>
      </c>
      <c r="L37" s="7" t="s">
        <v>786</v>
      </c>
      <c r="M37" s="7" t="s">
        <v>119</v>
      </c>
      <c r="N37" s="7" t="s">
        <v>788</v>
      </c>
    </row>
    <row r="38" spans="1:14" ht="30" customHeight="1" x14ac:dyDescent="0.25">
      <c r="A38" s="6" t="s">
        <v>859</v>
      </c>
      <c r="B38" s="6" t="s">
        <v>120</v>
      </c>
      <c r="C38" s="7" t="s">
        <v>121</v>
      </c>
      <c r="D38" s="7" t="s">
        <v>605</v>
      </c>
      <c r="E38" s="7" t="s">
        <v>606</v>
      </c>
      <c r="F38" s="7" t="s">
        <v>607</v>
      </c>
      <c r="G38" s="7" t="s">
        <v>14</v>
      </c>
      <c r="H38" s="7" t="s">
        <v>127</v>
      </c>
      <c r="I38" s="7" t="s">
        <v>126</v>
      </c>
      <c r="J38" s="7" t="s">
        <v>802</v>
      </c>
      <c r="K38" s="7" t="s">
        <v>860</v>
      </c>
      <c r="L38" s="7" t="s">
        <v>791</v>
      </c>
      <c r="M38" s="7" t="s">
        <v>861</v>
      </c>
      <c r="N38" s="7" t="s">
        <v>788</v>
      </c>
    </row>
    <row r="39" spans="1:14" ht="30" customHeight="1" x14ac:dyDescent="0.25">
      <c r="A39" s="6" t="s">
        <v>862</v>
      </c>
      <c r="B39" s="6" t="s">
        <v>120</v>
      </c>
      <c r="C39" s="7" t="s">
        <v>121</v>
      </c>
      <c r="D39" s="7" t="s">
        <v>629</v>
      </c>
      <c r="E39" s="7" t="s">
        <v>630</v>
      </c>
      <c r="F39" s="7" t="s">
        <v>631</v>
      </c>
      <c r="G39" s="7" t="s">
        <v>14</v>
      </c>
      <c r="H39" s="7" t="s">
        <v>127</v>
      </c>
      <c r="I39" s="7" t="s">
        <v>126</v>
      </c>
      <c r="J39" s="7" t="s">
        <v>802</v>
      </c>
      <c r="K39" s="7" t="s">
        <v>863</v>
      </c>
      <c r="L39" s="7" t="s">
        <v>791</v>
      </c>
      <c r="M39" s="7" t="s">
        <v>864</v>
      </c>
      <c r="N39" s="7" t="s">
        <v>788</v>
      </c>
    </row>
    <row r="40" spans="1:14" ht="30" customHeight="1" x14ac:dyDescent="0.25">
      <c r="A40" s="6" t="s">
        <v>865</v>
      </c>
      <c r="B40" s="6" t="s">
        <v>129</v>
      </c>
      <c r="C40" s="7" t="s">
        <v>130</v>
      </c>
      <c r="D40" s="7" t="s">
        <v>605</v>
      </c>
      <c r="E40" s="7" t="s">
        <v>606</v>
      </c>
      <c r="F40" s="7" t="s">
        <v>607</v>
      </c>
      <c r="G40" s="7" t="s">
        <v>14</v>
      </c>
      <c r="H40" s="7" t="s">
        <v>127</v>
      </c>
      <c r="I40" s="7" t="s">
        <v>126</v>
      </c>
      <c r="J40" s="7" t="s">
        <v>802</v>
      </c>
      <c r="K40" s="7" t="s">
        <v>866</v>
      </c>
      <c r="L40" s="7" t="s">
        <v>791</v>
      </c>
      <c r="M40" s="7" t="s">
        <v>133</v>
      </c>
      <c r="N40" s="7" t="s">
        <v>788</v>
      </c>
    </row>
    <row r="41" spans="1:14" ht="30" customHeight="1" x14ac:dyDescent="0.25">
      <c r="A41" s="6" t="s">
        <v>867</v>
      </c>
      <c r="B41" s="6" t="s">
        <v>129</v>
      </c>
      <c r="C41" s="7" t="s">
        <v>130</v>
      </c>
      <c r="D41" s="7" t="s">
        <v>629</v>
      </c>
      <c r="E41" s="7" t="s">
        <v>630</v>
      </c>
      <c r="F41" s="7" t="s">
        <v>631</v>
      </c>
      <c r="G41" s="7" t="s">
        <v>14</v>
      </c>
      <c r="H41" s="7" t="s">
        <v>127</v>
      </c>
      <c r="I41" s="7" t="s">
        <v>126</v>
      </c>
      <c r="J41" s="7" t="s">
        <v>802</v>
      </c>
      <c r="K41" s="7" t="s">
        <v>868</v>
      </c>
      <c r="L41" s="7" t="s">
        <v>791</v>
      </c>
      <c r="M41" s="7" t="s">
        <v>133</v>
      </c>
      <c r="N41" s="7" t="s">
        <v>788</v>
      </c>
    </row>
    <row r="42" spans="1:14" ht="30" customHeight="1" x14ac:dyDescent="0.25">
      <c r="A42" s="6" t="s">
        <v>869</v>
      </c>
      <c r="B42" s="6" t="s">
        <v>134</v>
      </c>
      <c r="C42" s="7" t="s">
        <v>135</v>
      </c>
      <c r="D42" s="7" t="s">
        <v>605</v>
      </c>
      <c r="E42" s="7" t="s">
        <v>606</v>
      </c>
      <c r="F42" s="7" t="s">
        <v>607</v>
      </c>
      <c r="G42" s="7" t="s">
        <v>13</v>
      </c>
      <c r="H42" s="7" t="s">
        <v>109</v>
      </c>
      <c r="I42" s="7" t="s">
        <v>66</v>
      </c>
      <c r="J42" s="7" t="s">
        <v>802</v>
      </c>
      <c r="K42" s="7" t="s">
        <v>870</v>
      </c>
      <c r="L42" s="7" t="s">
        <v>786</v>
      </c>
      <c r="M42" s="7" t="s">
        <v>871</v>
      </c>
      <c r="N42" s="7" t="s">
        <v>788</v>
      </c>
    </row>
    <row r="43" spans="1:14" ht="30" customHeight="1" x14ac:dyDescent="0.25">
      <c r="A43" s="6" t="s">
        <v>872</v>
      </c>
      <c r="B43" s="6" t="s">
        <v>138</v>
      </c>
      <c r="C43" s="7" t="s">
        <v>139</v>
      </c>
      <c r="D43" s="7" t="s">
        <v>662</v>
      </c>
      <c r="E43" s="7" t="s">
        <v>663</v>
      </c>
      <c r="F43" s="7" t="s">
        <v>607</v>
      </c>
      <c r="G43" s="7" t="s">
        <v>13</v>
      </c>
      <c r="H43" s="7" t="s">
        <v>109</v>
      </c>
      <c r="I43" s="7" t="s">
        <v>48</v>
      </c>
      <c r="J43" s="7" t="s">
        <v>802</v>
      </c>
      <c r="K43" s="7" t="s">
        <v>821</v>
      </c>
      <c r="L43" s="7" t="s">
        <v>786</v>
      </c>
      <c r="M43" s="7" t="s">
        <v>142</v>
      </c>
      <c r="N43" s="7" t="s">
        <v>788</v>
      </c>
    </row>
    <row r="44" spans="1:14" ht="30" customHeight="1" x14ac:dyDescent="0.25">
      <c r="A44" s="6" t="s">
        <v>873</v>
      </c>
      <c r="B44" s="6" t="s">
        <v>138</v>
      </c>
      <c r="C44" s="7" t="s">
        <v>139</v>
      </c>
      <c r="D44" s="7" t="s">
        <v>659</v>
      </c>
      <c r="E44" s="7" t="s">
        <v>660</v>
      </c>
      <c r="F44" s="7" t="s">
        <v>607</v>
      </c>
      <c r="G44" s="7" t="s">
        <v>14</v>
      </c>
      <c r="H44" s="7" t="s">
        <v>49</v>
      </c>
      <c r="I44" s="7" t="s">
        <v>48</v>
      </c>
      <c r="J44" s="7" t="s">
        <v>802</v>
      </c>
      <c r="K44" s="7" t="s">
        <v>874</v>
      </c>
      <c r="L44" s="7" t="s">
        <v>786</v>
      </c>
      <c r="M44" s="7" t="s">
        <v>142</v>
      </c>
      <c r="N44" s="7" t="s">
        <v>788</v>
      </c>
    </row>
    <row r="45" spans="1:14" ht="30" customHeight="1" x14ac:dyDescent="0.25">
      <c r="A45" s="6" t="s">
        <v>875</v>
      </c>
      <c r="B45" s="6" t="s">
        <v>138</v>
      </c>
      <c r="C45" s="7" t="s">
        <v>139</v>
      </c>
      <c r="D45" s="7" t="s">
        <v>665</v>
      </c>
      <c r="E45" s="7" t="s">
        <v>666</v>
      </c>
      <c r="F45" s="7" t="s">
        <v>667</v>
      </c>
      <c r="G45" s="7" t="s">
        <v>13</v>
      </c>
      <c r="H45" s="7" t="s">
        <v>109</v>
      </c>
      <c r="I45" s="7" t="s">
        <v>48</v>
      </c>
      <c r="J45" s="7" t="s">
        <v>802</v>
      </c>
      <c r="K45" s="7" t="s">
        <v>821</v>
      </c>
      <c r="L45" s="7" t="s">
        <v>786</v>
      </c>
      <c r="M45" s="7" t="s">
        <v>142</v>
      </c>
      <c r="N45" s="7" t="s">
        <v>788</v>
      </c>
    </row>
    <row r="46" spans="1:14" ht="30" customHeight="1" x14ac:dyDescent="0.25">
      <c r="A46" s="6" t="s">
        <v>876</v>
      </c>
      <c r="B46" s="6" t="s">
        <v>143</v>
      </c>
      <c r="C46" s="7" t="s">
        <v>144</v>
      </c>
      <c r="D46" s="7" t="s">
        <v>659</v>
      </c>
      <c r="E46" s="7" t="s">
        <v>660</v>
      </c>
      <c r="F46" s="7" t="s">
        <v>607</v>
      </c>
      <c r="G46" s="7" t="s">
        <v>14</v>
      </c>
      <c r="H46" s="7" t="s">
        <v>49</v>
      </c>
      <c r="I46" s="7" t="s">
        <v>48</v>
      </c>
      <c r="J46" s="7" t="s">
        <v>802</v>
      </c>
      <c r="K46" s="7" t="s">
        <v>877</v>
      </c>
      <c r="L46" s="7" t="s">
        <v>786</v>
      </c>
      <c r="M46" s="7" t="s">
        <v>878</v>
      </c>
      <c r="N46" s="7" t="s">
        <v>788</v>
      </c>
    </row>
    <row r="47" spans="1:14" ht="30" customHeight="1" x14ac:dyDescent="0.25">
      <c r="A47" s="6" t="s">
        <v>879</v>
      </c>
      <c r="B47" s="6" t="s">
        <v>143</v>
      </c>
      <c r="C47" s="7" t="s">
        <v>144</v>
      </c>
      <c r="D47" s="7" t="s">
        <v>662</v>
      </c>
      <c r="E47" s="7" t="s">
        <v>663</v>
      </c>
      <c r="F47" s="7" t="s">
        <v>607</v>
      </c>
      <c r="G47" s="7" t="s">
        <v>13</v>
      </c>
      <c r="H47" s="7" t="s">
        <v>58</v>
      </c>
      <c r="I47" s="7" t="s">
        <v>48</v>
      </c>
      <c r="J47" s="7" t="s">
        <v>802</v>
      </c>
      <c r="K47" s="7" t="s">
        <v>821</v>
      </c>
      <c r="L47" s="7" t="s">
        <v>786</v>
      </c>
      <c r="M47" s="7" t="s">
        <v>147</v>
      </c>
      <c r="N47" s="7" t="s">
        <v>788</v>
      </c>
    </row>
    <row r="48" spans="1:14" ht="30" customHeight="1" x14ac:dyDescent="0.25">
      <c r="A48" s="6" t="s">
        <v>880</v>
      </c>
      <c r="B48" s="6" t="s">
        <v>143</v>
      </c>
      <c r="C48" s="7" t="s">
        <v>144</v>
      </c>
      <c r="D48" s="7" t="s">
        <v>665</v>
      </c>
      <c r="E48" s="7" t="s">
        <v>666</v>
      </c>
      <c r="F48" s="7" t="s">
        <v>667</v>
      </c>
      <c r="G48" s="7" t="s">
        <v>14</v>
      </c>
      <c r="H48" s="7" t="s">
        <v>49</v>
      </c>
      <c r="I48" s="7" t="s">
        <v>48</v>
      </c>
      <c r="J48" s="7" t="s">
        <v>802</v>
      </c>
      <c r="K48" s="7" t="s">
        <v>881</v>
      </c>
      <c r="L48" s="7" t="s">
        <v>786</v>
      </c>
      <c r="M48" s="7" t="s">
        <v>147</v>
      </c>
      <c r="N48" s="7" t="s">
        <v>788</v>
      </c>
    </row>
    <row r="49" spans="1:14" ht="30" customHeight="1" x14ac:dyDescent="0.25">
      <c r="A49" s="6" t="s">
        <v>882</v>
      </c>
      <c r="B49" s="6" t="s">
        <v>148</v>
      </c>
      <c r="C49" s="7" t="s">
        <v>149</v>
      </c>
      <c r="D49" s="7" t="s">
        <v>600</v>
      </c>
      <c r="E49" s="7" t="s">
        <v>601</v>
      </c>
      <c r="F49" s="7" t="s">
        <v>602</v>
      </c>
      <c r="G49" s="7" t="s">
        <v>13</v>
      </c>
      <c r="H49" s="7" t="s">
        <v>109</v>
      </c>
      <c r="I49" s="7" t="s">
        <v>48</v>
      </c>
      <c r="J49" s="7" t="s">
        <v>802</v>
      </c>
      <c r="K49" s="7" t="s">
        <v>883</v>
      </c>
      <c r="L49" s="7" t="s">
        <v>791</v>
      </c>
      <c r="M49" s="7" t="s">
        <v>884</v>
      </c>
      <c r="N49" s="7" t="s">
        <v>788</v>
      </c>
    </row>
    <row r="50" spans="1:14" ht="30" customHeight="1" x14ac:dyDescent="0.25">
      <c r="A50" s="6" t="s">
        <v>885</v>
      </c>
      <c r="B50" s="6" t="s">
        <v>148</v>
      </c>
      <c r="C50" s="7" t="s">
        <v>149</v>
      </c>
      <c r="D50" s="7" t="s">
        <v>609</v>
      </c>
      <c r="E50" s="7" t="s">
        <v>610</v>
      </c>
      <c r="F50" s="7" t="s">
        <v>611</v>
      </c>
      <c r="G50" s="7" t="s">
        <v>13</v>
      </c>
      <c r="H50" s="7" t="s">
        <v>109</v>
      </c>
      <c r="I50" s="7" t="s">
        <v>48</v>
      </c>
      <c r="J50" s="7" t="s">
        <v>802</v>
      </c>
      <c r="K50" s="7" t="s">
        <v>886</v>
      </c>
      <c r="L50" s="7" t="s">
        <v>786</v>
      </c>
      <c r="M50" s="7" t="s">
        <v>887</v>
      </c>
      <c r="N50" s="7" t="s">
        <v>788</v>
      </c>
    </row>
    <row r="51" spans="1:14" ht="30" customHeight="1" x14ac:dyDescent="0.25">
      <c r="A51" s="6" t="s">
        <v>888</v>
      </c>
      <c r="B51" s="6" t="s">
        <v>153</v>
      </c>
      <c r="C51" s="7" t="s">
        <v>154</v>
      </c>
      <c r="D51" s="7" t="s">
        <v>636</v>
      </c>
      <c r="E51" s="7" t="s">
        <v>637</v>
      </c>
      <c r="F51" s="7" t="s">
        <v>638</v>
      </c>
      <c r="G51" s="7" t="s">
        <v>13</v>
      </c>
      <c r="H51" s="7" t="s">
        <v>58</v>
      </c>
      <c r="I51" s="7" t="s">
        <v>48</v>
      </c>
      <c r="J51" s="7" t="s">
        <v>889</v>
      </c>
      <c r="K51" s="7" t="s">
        <v>821</v>
      </c>
      <c r="L51" s="7" t="s">
        <v>796</v>
      </c>
      <c r="M51" s="7" t="s">
        <v>890</v>
      </c>
      <c r="N51" s="7" t="s">
        <v>788</v>
      </c>
    </row>
    <row r="52" spans="1:14" ht="30" customHeight="1" x14ac:dyDescent="0.25">
      <c r="A52" s="6" t="s">
        <v>891</v>
      </c>
      <c r="B52" s="6" t="s">
        <v>153</v>
      </c>
      <c r="C52" s="7" t="s">
        <v>154</v>
      </c>
      <c r="D52" s="7" t="s">
        <v>617</v>
      </c>
      <c r="E52" s="7" t="s">
        <v>618</v>
      </c>
      <c r="F52" s="7" t="s">
        <v>615</v>
      </c>
      <c r="G52" s="7" t="s">
        <v>13</v>
      </c>
      <c r="H52" s="7" t="s">
        <v>109</v>
      </c>
      <c r="I52" s="7" t="s">
        <v>48</v>
      </c>
      <c r="J52" s="7" t="s">
        <v>889</v>
      </c>
      <c r="K52" s="7" t="s">
        <v>821</v>
      </c>
      <c r="L52" s="7" t="s">
        <v>791</v>
      </c>
      <c r="M52" s="7" t="s">
        <v>892</v>
      </c>
      <c r="N52" s="7" t="s">
        <v>788</v>
      </c>
    </row>
    <row r="53" spans="1:14" ht="30" customHeight="1" x14ac:dyDescent="0.25">
      <c r="A53" s="6" t="s">
        <v>893</v>
      </c>
      <c r="B53" s="6" t="s">
        <v>153</v>
      </c>
      <c r="C53" s="7" t="s">
        <v>154</v>
      </c>
      <c r="D53" s="7" t="s">
        <v>613</v>
      </c>
      <c r="E53" s="7" t="s">
        <v>614</v>
      </c>
      <c r="F53" s="7" t="s">
        <v>615</v>
      </c>
      <c r="G53" s="7" t="s">
        <v>13</v>
      </c>
      <c r="H53" s="7" t="s">
        <v>58</v>
      </c>
      <c r="I53" s="7" t="s">
        <v>48</v>
      </c>
      <c r="J53" s="7" t="s">
        <v>889</v>
      </c>
      <c r="K53" s="7" t="s">
        <v>821</v>
      </c>
      <c r="L53" s="7" t="s">
        <v>796</v>
      </c>
      <c r="M53" s="7" t="s">
        <v>894</v>
      </c>
      <c r="N53" s="7" t="s">
        <v>788</v>
      </c>
    </row>
    <row r="54" spans="1:14" ht="30" customHeight="1" x14ac:dyDescent="0.25">
      <c r="A54" s="6" t="s">
        <v>895</v>
      </c>
      <c r="B54" s="6" t="s">
        <v>509</v>
      </c>
      <c r="C54" s="7" t="s">
        <v>510</v>
      </c>
      <c r="D54" s="7" t="s">
        <v>649</v>
      </c>
      <c r="E54" s="7" t="s">
        <v>650</v>
      </c>
      <c r="F54" s="7" t="s">
        <v>651</v>
      </c>
      <c r="G54" s="7" t="s">
        <v>14</v>
      </c>
      <c r="H54" s="7" t="s">
        <v>49</v>
      </c>
      <c r="I54" s="7" t="s">
        <v>66</v>
      </c>
      <c r="J54" s="7" t="s">
        <v>896</v>
      </c>
      <c r="K54" s="7" t="s">
        <v>897</v>
      </c>
      <c r="L54" s="7" t="s">
        <v>796</v>
      </c>
      <c r="M54" s="7" t="s">
        <v>509</v>
      </c>
      <c r="N54" s="7" t="s">
        <v>788</v>
      </c>
    </row>
    <row r="55" spans="1:14" ht="30" customHeight="1" x14ac:dyDescent="0.25">
      <c r="A55" s="6" t="s">
        <v>898</v>
      </c>
      <c r="B55" s="6" t="s">
        <v>509</v>
      </c>
      <c r="C55" s="7" t="s">
        <v>510</v>
      </c>
      <c r="D55" s="7" t="s">
        <v>656</v>
      </c>
      <c r="E55" s="7" t="s">
        <v>657</v>
      </c>
      <c r="F55" s="7" t="s">
        <v>651</v>
      </c>
      <c r="G55" s="7" t="s">
        <v>14</v>
      </c>
      <c r="H55" s="7" t="s">
        <v>49</v>
      </c>
      <c r="I55" s="7" t="s">
        <v>66</v>
      </c>
      <c r="J55" s="7" t="s">
        <v>896</v>
      </c>
      <c r="K55" s="7" t="s">
        <v>899</v>
      </c>
      <c r="L55" s="7" t="s">
        <v>796</v>
      </c>
      <c r="M55" s="7" t="s">
        <v>509</v>
      </c>
      <c r="N55" s="7" t="s">
        <v>788</v>
      </c>
    </row>
    <row r="56" spans="1:14" ht="30" customHeight="1" x14ac:dyDescent="0.25">
      <c r="A56" s="6" t="s">
        <v>900</v>
      </c>
      <c r="B56" s="6" t="s">
        <v>515</v>
      </c>
      <c r="C56" s="7" t="s">
        <v>516</v>
      </c>
      <c r="D56" s="7" t="s">
        <v>656</v>
      </c>
      <c r="E56" s="7" t="s">
        <v>657</v>
      </c>
      <c r="F56" s="7" t="s">
        <v>651</v>
      </c>
      <c r="G56" s="7" t="s">
        <v>14</v>
      </c>
      <c r="H56" s="7" t="s">
        <v>49</v>
      </c>
      <c r="I56" s="7" t="s">
        <v>48</v>
      </c>
      <c r="J56" s="7" t="s">
        <v>901</v>
      </c>
      <c r="K56" s="7" t="s">
        <v>902</v>
      </c>
      <c r="L56" s="7" t="s">
        <v>796</v>
      </c>
      <c r="M56" s="7" t="s">
        <v>515</v>
      </c>
      <c r="N56" s="7" t="s">
        <v>788</v>
      </c>
    </row>
    <row r="57" spans="1:14" ht="30" customHeight="1" x14ac:dyDescent="0.25">
      <c r="A57" s="6" t="s">
        <v>903</v>
      </c>
      <c r="B57" s="6" t="s">
        <v>521</v>
      </c>
      <c r="C57" s="7" t="s">
        <v>522</v>
      </c>
      <c r="D57" s="7" t="s">
        <v>656</v>
      </c>
      <c r="E57" s="7" t="s">
        <v>657</v>
      </c>
      <c r="F57" s="7" t="s">
        <v>651</v>
      </c>
      <c r="G57" s="7" t="s">
        <v>14</v>
      </c>
      <c r="H57" s="7" t="s">
        <v>49</v>
      </c>
      <c r="I57" s="7" t="s">
        <v>66</v>
      </c>
      <c r="J57" s="7" t="s">
        <v>901</v>
      </c>
      <c r="K57" s="7" t="s">
        <v>904</v>
      </c>
      <c r="L57" s="7" t="s">
        <v>796</v>
      </c>
      <c r="M57" s="7" t="s">
        <v>521</v>
      </c>
      <c r="N57" s="7" t="s">
        <v>788</v>
      </c>
    </row>
    <row r="58" spans="1:14" ht="30" customHeight="1" x14ac:dyDescent="0.25">
      <c r="A58" s="6" t="s">
        <v>905</v>
      </c>
      <c r="B58" s="6" t="s">
        <v>524</v>
      </c>
      <c r="C58" s="7" t="s">
        <v>525</v>
      </c>
      <c r="D58" s="7" t="s">
        <v>649</v>
      </c>
      <c r="E58" s="7" t="s">
        <v>650</v>
      </c>
      <c r="F58" s="7" t="s">
        <v>651</v>
      </c>
      <c r="G58" s="7" t="s">
        <v>13</v>
      </c>
      <c r="H58" s="7" t="s">
        <v>109</v>
      </c>
      <c r="I58" s="7" t="s">
        <v>48</v>
      </c>
      <c r="J58" s="7" t="s">
        <v>896</v>
      </c>
      <c r="K58" s="7" t="s">
        <v>906</v>
      </c>
      <c r="L58" s="7" t="s">
        <v>786</v>
      </c>
      <c r="M58" s="7" t="s">
        <v>907</v>
      </c>
      <c r="N58" s="7" t="s">
        <v>788</v>
      </c>
    </row>
    <row r="59" spans="1:14" ht="30" customHeight="1" x14ac:dyDescent="0.25">
      <c r="A59" s="6" t="s">
        <v>908</v>
      </c>
      <c r="B59" s="6" t="s">
        <v>524</v>
      </c>
      <c r="C59" s="7" t="s">
        <v>525</v>
      </c>
      <c r="D59" s="7" t="s">
        <v>656</v>
      </c>
      <c r="E59" s="7" t="s">
        <v>657</v>
      </c>
      <c r="F59" s="7" t="s">
        <v>651</v>
      </c>
      <c r="G59" s="7" t="s">
        <v>13</v>
      </c>
      <c r="H59" s="7" t="s">
        <v>109</v>
      </c>
      <c r="I59" s="7" t="s">
        <v>66</v>
      </c>
      <c r="J59" s="7" t="s">
        <v>896</v>
      </c>
      <c r="K59" s="7" t="s">
        <v>909</v>
      </c>
      <c r="L59" s="7" t="s">
        <v>786</v>
      </c>
      <c r="M59" s="7" t="s">
        <v>910</v>
      </c>
      <c r="N59" s="7" t="s">
        <v>788</v>
      </c>
    </row>
    <row r="60" spans="1:14" ht="30" customHeight="1" x14ac:dyDescent="0.25">
      <c r="A60" s="6" t="s">
        <v>911</v>
      </c>
      <c r="B60" s="6" t="s">
        <v>530</v>
      </c>
      <c r="C60" s="7" t="s">
        <v>531</v>
      </c>
      <c r="D60" s="7" t="s">
        <v>649</v>
      </c>
      <c r="E60" s="7" t="s">
        <v>650</v>
      </c>
      <c r="F60" s="7" t="s">
        <v>651</v>
      </c>
      <c r="G60" s="7" t="s">
        <v>13</v>
      </c>
      <c r="H60" s="7" t="s">
        <v>109</v>
      </c>
      <c r="I60" s="7" t="s">
        <v>48</v>
      </c>
      <c r="J60" s="7" t="s">
        <v>896</v>
      </c>
      <c r="K60" s="7" t="s">
        <v>912</v>
      </c>
      <c r="L60" s="7" t="s">
        <v>786</v>
      </c>
      <c r="M60" s="7" t="s">
        <v>535</v>
      </c>
      <c r="N60" s="7" t="s">
        <v>788</v>
      </c>
    </row>
    <row r="61" spans="1:14" ht="30" customHeight="1" x14ac:dyDescent="0.25">
      <c r="A61" s="6" t="s">
        <v>913</v>
      </c>
      <c r="B61" s="6" t="s">
        <v>536</v>
      </c>
      <c r="C61" s="7" t="s">
        <v>537</v>
      </c>
      <c r="D61" s="7" t="s">
        <v>649</v>
      </c>
      <c r="E61" s="7" t="s">
        <v>650</v>
      </c>
      <c r="F61" s="7" t="s">
        <v>651</v>
      </c>
      <c r="G61" s="7" t="s">
        <v>13</v>
      </c>
      <c r="H61" s="7" t="s">
        <v>109</v>
      </c>
      <c r="I61" s="7" t="s">
        <v>48</v>
      </c>
      <c r="J61" s="7" t="s">
        <v>896</v>
      </c>
      <c r="K61" s="7" t="s">
        <v>914</v>
      </c>
      <c r="L61" s="7" t="s">
        <v>796</v>
      </c>
      <c r="M61" s="7" t="s">
        <v>915</v>
      </c>
      <c r="N61" s="7" t="s">
        <v>788</v>
      </c>
    </row>
    <row r="62" spans="1:14" ht="30" customHeight="1" x14ac:dyDescent="0.25">
      <c r="A62" s="6" t="s">
        <v>916</v>
      </c>
      <c r="B62" s="6" t="s">
        <v>542</v>
      </c>
      <c r="C62" s="7" t="s">
        <v>543</v>
      </c>
      <c r="D62" s="7" t="s">
        <v>649</v>
      </c>
      <c r="E62" s="7" t="s">
        <v>650</v>
      </c>
      <c r="F62" s="7" t="s">
        <v>651</v>
      </c>
      <c r="G62" s="7" t="s">
        <v>13</v>
      </c>
      <c r="H62" s="7" t="s">
        <v>109</v>
      </c>
      <c r="I62" s="7" t="s">
        <v>48</v>
      </c>
      <c r="J62" s="7" t="s">
        <v>896</v>
      </c>
      <c r="K62" s="7" t="s">
        <v>917</v>
      </c>
      <c r="L62" s="7" t="s">
        <v>796</v>
      </c>
      <c r="M62" s="7" t="s">
        <v>918</v>
      </c>
      <c r="N62" s="7" t="s">
        <v>788</v>
      </c>
    </row>
    <row r="63" spans="1:14" ht="30" customHeight="1" x14ac:dyDescent="0.25">
      <c r="A63" s="6" t="s">
        <v>919</v>
      </c>
      <c r="B63" s="6" t="s">
        <v>546</v>
      </c>
      <c r="C63" s="7" t="s">
        <v>547</v>
      </c>
      <c r="D63" s="7" t="s">
        <v>649</v>
      </c>
      <c r="E63" s="7" t="s">
        <v>650</v>
      </c>
      <c r="F63" s="7" t="s">
        <v>651</v>
      </c>
      <c r="G63" s="7" t="s">
        <v>14</v>
      </c>
      <c r="H63" s="7" t="s">
        <v>49</v>
      </c>
      <c r="I63" s="7" t="s">
        <v>48</v>
      </c>
      <c r="J63" s="7" t="s">
        <v>896</v>
      </c>
      <c r="K63" s="7" t="s">
        <v>920</v>
      </c>
      <c r="L63" s="7" t="s">
        <v>796</v>
      </c>
      <c r="M63" s="7" t="s">
        <v>546</v>
      </c>
      <c r="N63" s="7" t="s">
        <v>788</v>
      </c>
    </row>
    <row r="64" spans="1:14" ht="30" customHeight="1" x14ac:dyDescent="0.25">
      <c r="A64" s="6" t="s">
        <v>921</v>
      </c>
      <c r="B64" s="6" t="s">
        <v>551</v>
      </c>
      <c r="C64" s="7" t="s">
        <v>552</v>
      </c>
      <c r="D64" s="7" t="s">
        <v>649</v>
      </c>
      <c r="E64" s="7" t="s">
        <v>650</v>
      </c>
      <c r="F64" s="7" t="s">
        <v>651</v>
      </c>
      <c r="G64" s="7" t="s">
        <v>14</v>
      </c>
      <c r="H64" s="7" t="s">
        <v>49</v>
      </c>
      <c r="I64" s="7" t="s">
        <v>48</v>
      </c>
      <c r="J64" s="7" t="s">
        <v>896</v>
      </c>
      <c r="K64" s="7" t="s">
        <v>922</v>
      </c>
      <c r="L64" s="7" t="s">
        <v>791</v>
      </c>
      <c r="M64" s="7" t="s">
        <v>551</v>
      </c>
      <c r="N64" s="7" t="s">
        <v>788</v>
      </c>
    </row>
    <row r="65" spans="1:14" ht="30" customHeight="1" x14ac:dyDescent="0.25">
      <c r="A65" s="6" t="s">
        <v>923</v>
      </c>
      <c r="B65" s="6" t="s">
        <v>554</v>
      </c>
      <c r="C65" s="7" t="s">
        <v>555</v>
      </c>
      <c r="D65" s="7" t="s">
        <v>653</v>
      </c>
      <c r="E65" s="7" t="s">
        <v>654</v>
      </c>
      <c r="F65" s="7" t="s">
        <v>646</v>
      </c>
      <c r="G65" s="7" t="s">
        <v>14</v>
      </c>
      <c r="H65" s="7" t="s">
        <v>49</v>
      </c>
      <c r="I65" s="7" t="s">
        <v>48</v>
      </c>
      <c r="J65" s="7" t="s">
        <v>924</v>
      </c>
      <c r="K65" s="7" t="s">
        <v>925</v>
      </c>
      <c r="L65" s="7" t="s">
        <v>796</v>
      </c>
      <c r="M65" s="7" t="s">
        <v>926</v>
      </c>
      <c r="N65" s="7" t="s">
        <v>788</v>
      </c>
    </row>
    <row r="66" spans="1:14" ht="30" customHeight="1" x14ac:dyDescent="0.25">
      <c r="A66" s="6" t="s">
        <v>927</v>
      </c>
      <c r="B66" s="6" t="s">
        <v>557</v>
      </c>
      <c r="C66" s="7" t="s">
        <v>558</v>
      </c>
      <c r="D66" s="7" t="s">
        <v>653</v>
      </c>
      <c r="E66" s="7" t="s">
        <v>654</v>
      </c>
      <c r="F66" s="7" t="s">
        <v>646</v>
      </c>
      <c r="G66" s="7" t="s">
        <v>14</v>
      </c>
      <c r="H66" s="7" t="s">
        <v>49</v>
      </c>
      <c r="I66" s="7" t="s">
        <v>48</v>
      </c>
      <c r="J66" s="7" t="s">
        <v>901</v>
      </c>
      <c r="K66" s="7" t="s">
        <v>928</v>
      </c>
      <c r="L66" s="7" t="s">
        <v>796</v>
      </c>
      <c r="M66" s="7" t="s">
        <v>557</v>
      </c>
      <c r="N66" s="7" t="s">
        <v>788</v>
      </c>
    </row>
    <row r="67" spans="1:14" ht="30" customHeight="1" x14ac:dyDescent="0.25">
      <c r="A67" s="6" t="s">
        <v>929</v>
      </c>
      <c r="B67" s="6" t="s">
        <v>561</v>
      </c>
      <c r="C67" s="7" t="s">
        <v>562</v>
      </c>
      <c r="D67" s="7" t="s">
        <v>644</v>
      </c>
      <c r="E67" s="7" t="s">
        <v>645</v>
      </c>
      <c r="F67" s="7" t="s">
        <v>646</v>
      </c>
      <c r="G67" s="7" t="s">
        <v>14</v>
      </c>
      <c r="H67" s="7" t="s">
        <v>49</v>
      </c>
      <c r="I67" s="7" t="s">
        <v>48</v>
      </c>
      <c r="J67" s="7" t="s">
        <v>924</v>
      </c>
      <c r="K67" s="7" t="s">
        <v>930</v>
      </c>
      <c r="L67" s="7" t="s">
        <v>796</v>
      </c>
      <c r="M67" s="7" t="s">
        <v>561</v>
      </c>
      <c r="N67" s="7" t="s">
        <v>788</v>
      </c>
    </row>
    <row r="68" spans="1:14" ht="30" customHeight="1" x14ac:dyDescent="0.25">
      <c r="A68" s="6" t="s">
        <v>931</v>
      </c>
      <c r="B68" s="6" t="s">
        <v>567</v>
      </c>
      <c r="C68" s="7" t="s">
        <v>568</v>
      </c>
      <c r="D68" s="7" t="s">
        <v>644</v>
      </c>
      <c r="E68" s="7" t="s">
        <v>645</v>
      </c>
      <c r="F68" s="7" t="s">
        <v>646</v>
      </c>
      <c r="G68" s="7" t="s">
        <v>14</v>
      </c>
      <c r="H68" s="7" t="s">
        <v>127</v>
      </c>
      <c r="I68" s="7" t="s">
        <v>66</v>
      </c>
      <c r="J68" s="7" t="s">
        <v>924</v>
      </c>
      <c r="K68" s="7" t="s">
        <v>932</v>
      </c>
      <c r="L68" s="7" t="s">
        <v>796</v>
      </c>
      <c r="M68" s="7" t="s">
        <v>567</v>
      </c>
      <c r="N68" s="7" t="s">
        <v>788</v>
      </c>
    </row>
    <row r="69" spans="1:14" ht="30" customHeight="1" x14ac:dyDescent="0.25">
      <c r="A69" s="6" t="s">
        <v>933</v>
      </c>
      <c r="B69" s="6" t="s">
        <v>158</v>
      </c>
      <c r="C69" s="7" t="s">
        <v>159</v>
      </c>
      <c r="D69" s="7" t="s">
        <v>617</v>
      </c>
      <c r="E69" s="7" t="s">
        <v>618</v>
      </c>
      <c r="F69" s="7" t="s">
        <v>615</v>
      </c>
      <c r="G69" s="7" t="s">
        <v>14</v>
      </c>
      <c r="H69" s="7" t="s">
        <v>49</v>
      </c>
      <c r="I69" s="7" t="s">
        <v>48</v>
      </c>
      <c r="J69" s="7" t="s">
        <v>807</v>
      </c>
      <c r="K69" s="7" t="s">
        <v>934</v>
      </c>
      <c r="L69" s="7" t="s">
        <v>791</v>
      </c>
      <c r="M69" s="7" t="s">
        <v>74</v>
      </c>
      <c r="N69" s="7" t="s">
        <v>788</v>
      </c>
    </row>
    <row r="70" spans="1:14" ht="30" customHeight="1" x14ac:dyDescent="0.25">
      <c r="A70" s="6" t="s">
        <v>935</v>
      </c>
      <c r="B70" s="6" t="s">
        <v>158</v>
      </c>
      <c r="C70" s="7" t="s">
        <v>159</v>
      </c>
      <c r="D70" s="7" t="s">
        <v>600</v>
      </c>
      <c r="E70" s="7" t="s">
        <v>601</v>
      </c>
      <c r="F70" s="7" t="s">
        <v>602</v>
      </c>
      <c r="G70" s="7" t="s">
        <v>14</v>
      </c>
      <c r="H70" s="7" t="s">
        <v>49</v>
      </c>
      <c r="I70" s="7" t="s">
        <v>48</v>
      </c>
      <c r="J70" s="7" t="s">
        <v>807</v>
      </c>
      <c r="K70" s="7" t="s">
        <v>936</v>
      </c>
      <c r="L70" s="7" t="s">
        <v>791</v>
      </c>
      <c r="M70" s="7" t="s">
        <v>74</v>
      </c>
      <c r="N70" s="7" t="s">
        <v>788</v>
      </c>
    </row>
    <row r="71" spans="1:14" ht="30" customHeight="1" x14ac:dyDescent="0.25">
      <c r="A71" s="6" t="s">
        <v>937</v>
      </c>
      <c r="B71" s="6" t="s">
        <v>161</v>
      </c>
      <c r="C71" s="7" t="s">
        <v>162</v>
      </c>
      <c r="D71" s="7" t="s">
        <v>617</v>
      </c>
      <c r="E71" s="7" t="s">
        <v>618</v>
      </c>
      <c r="F71" s="7" t="s">
        <v>615</v>
      </c>
      <c r="G71" s="7" t="s">
        <v>14</v>
      </c>
      <c r="H71" s="7" t="s">
        <v>49</v>
      </c>
      <c r="I71" s="7" t="s">
        <v>48</v>
      </c>
      <c r="J71" s="7" t="s">
        <v>807</v>
      </c>
      <c r="K71" s="7" t="s">
        <v>934</v>
      </c>
      <c r="L71" s="7" t="s">
        <v>791</v>
      </c>
      <c r="M71" s="7" t="s">
        <v>74</v>
      </c>
      <c r="N71" s="7" t="s">
        <v>788</v>
      </c>
    </row>
    <row r="72" spans="1:14" ht="30" customHeight="1" x14ac:dyDescent="0.25">
      <c r="A72" s="6" t="s">
        <v>938</v>
      </c>
      <c r="B72" s="6" t="s">
        <v>161</v>
      </c>
      <c r="C72" s="7" t="s">
        <v>162</v>
      </c>
      <c r="D72" s="7" t="s">
        <v>600</v>
      </c>
      <c r="E72" s="7" t="s">
        <v>601</v>
      </c>
      <c r="F72" s="7" t="s">
        <v>602</v>
      </c>
      <c r="G72" s="7" t="s">
        <v>14</v>
      </c>
      <c r="H72" s="7" t="s">
        <v>49</v>
      </c>
      <c r="I72" s="7" t="s">
        <v>48</v>
      </c>
      <c r="J72" s="7" t="s">
        <v>807</v>
      </c>
      <c r="K72" s="7" t="s">
        <v>936</v>
      </c>
      <c r="L72" s="7" t="s">
        <v>791</v>
      </c>
      <c r="M72" s="7" t="s">
        <v>74</v>
      </c>
      <c r="N72" s="7" t="s">
        <v>788</v>
      </c>
    </row>
    <row r="73" spans="1:14" ht="30" customHeight="1" x14ac:dyDescent="0.25">
      <c r="A73" s="6" t="s">
        <v>939</v>
      </c>
      <c r="B73" s="6" t="s">
        <v>165</v>
      </c>
      <c r="C73" s="7" t="s">
        <v>166</v>
      </c>
      <c r="D73" s="7" t="s">
        <v>600</v>
      </c>
      <c r="E73" s="7" t="s">
        <v>601</v>
      </c>
      <c r="F73" s="7" t="s">
        <v>602</v>
      </c>
      <c r="G73" s="7" t="s">
        <v>14</v>
      </c>
      <c r="H73" s="7" t="s">
        <v>49</v>
      </c>
      <c r="I73" s="7" t="s">
        <v>48</v>
      </c>
      <c r="J73" s="7" t="s">
        <v>802</v>
      </c>
      <c r="K73" s="7" t="s">
        <v>940</v>
      </c>
      <c r="L73" s="7" t="s">
        <v>791</v>
      </c>
      <c r="M73" s="7" t="s">
        <v>74</v>
      </c>
      <c r="N73" s="7" t="s">
        <v>788</v>
      </c>
    </row>
    <row r="74" spans="1:14" ht="30" customHeight="1" x14ac:dyDescent="0.25">
      <c r="A74" s="6" t="s">
        <v>941</v>
      </c>
      <c r="B74" s="6" t="s">
        <v>165</v>
      </c>
      <c r="C74" s="7" t="s">
        <v>166</v>
      </c>
      <c r="D74" s="7" t="s">
        <v>617</v>
      </c>
      <c r="E74" s="7" t="s">
        <v>618</v>
      </c>
      <c r="F74" s="7" t="s">
        <v>615</v>
      </c>
      <c r="G74" s="7" t="s">
        <v>14</v>
      </c>
      <c r="H74" s="7" t="s">
        <v>67</v>
      </c>
      <c r="I74" s="7" t="s">
        <v>66</v>
      </c>
      <c r="J74" s="7" t="s">
        <v>802</v>
      </c>
      <c r="K74" s="7" t="s">
        <v>942</v>
      </c>
      <c r="L74" s="7" t="s">
        <v>791</v>
      </c>
      <c r="M74" s="7" t="s">
        <v>74</v>
      </c>
      <c r="N74" s="7" t="s">
        <v>788</v>
      </c>
    </row>
    <row r="75" spans="1:14" ht="30" customHeight="1" x14ac:dyDescent="0.25">
      <c r="A75" s="6" t="s">
        <v>943</v>
      </c>
      <c r="B75" s="6" t="s">
        <v>169</v>
      </c>
      <c r="C75" s="7" t="s">
        <v>170</v>
      </c>
      <c r="D75" s="7" t="s">
        <v>600</v>
      </c>
      <c r="E75" s="7" t="s">
        <v>601</v>
      </c>
      <c r="F75" s="7" t="s">
        <v>602</v>
      </c>
      <c r="G75" s="7" t="s">
        <v>14</v>
      </c>
      <c r="H75" s="7" t="s">
        <v>49</v>
      </c>
      <c r="I75" s="7" t="s">
        <v>48</v>
      </c>
      <c r="J75" s="7" t="s">
        <v>802</v>
      </c>
      <c r="K75" s="7" t="s">
        <v>944</v>
      </c>
      <c r="L75" s="7" t="s">
        <v>791</v>
      </c>
      <c r="M75" s="7" t="s">
        <v>74</v>
      </c>
      <c r="N75" s="7" t="s">
        <v>788</v>
      </c>
    </row>
    <row r="76" spans="1:14" ht="30" customHeight="1" x14ac:dyDescent="0.25">
      <c r="A76" s="6" t="s">
        <v>945</v>
      </c>
      <c r="B76" s="6" t="s">
        <v>169</v>
      </c>
      <c r="C76" s="7" t="s">
        <v>170</v>
      </c>
      <c r="D76" s="7" t="s">
        <v>609</v>
      </c>
      <c r="E76" s="7" t="s">
        <v>610</v>
      </c>
      <c r="F76" s="7" t="s">
        <v>611</v>
      </c>
      <c r="G76" s="7" t="s">
        <v>14</v>
      </c>
      <c r="H76" s="7" t="s">
        <v>49</v>
      </c>
      <c r="I76" s="7" t="s">
        <v>48</v>
      </c>
      <c r="J76" s="7" t="s">
        <v>802</v>
      </c>
      <c r="K76" s="7" t="s">
        <v>946</v>
      </c>
      <c r="L76" s="7" t="s">
        <v>791</v>
      </c>
      <c r="M76" s="7" t="s">
        <v>74</v>
      </c>
      <c r="N76" s="7" t="s">
        <v>788</v>
      </c>
    </row>
    <row r="77" spans="1:14" ht="30" customHeight="1" x14ac:dyDescent="0.25">
      <c r="A77" s="6" t="s">
        <v>947</v>
      </c>
      <c r="B77" s="6" t="s">
        <v>173</v>
      </c>
      <c r="C77" s="7" t="s">
        <v>174</v>
      </c>
      <c r="D77" s="7" t="s">
        <v>600</v>
      </c>
      <c r="E77" s="7" t="s">
        <v>601</v>
      </c>
      <c r="F77" s="7" t="s">
        <v>602</v>
      </c>
      <c r="G77" s="7" t="s">
        <v>14</v>
      </c>
      <c r="H77" s="7" t="s">
        <v>49</v>
      </c>
      <c r="I77" s="7" t="s">
        <v>48</v>
      </c>
      <c r="J77" s="7" t="s">
        <v>802</v>
      </c>
      <c r="K77" s="7" t="s">
        <v>944</v>
      </c>
      <c r="L77" s="7" t="s">
        <v>791</v>
      </c>
      <c r="M77" s="7" t="s">
        <v>74</v>
      </c>
      <c r="N77" s="7" t="s">
        <v>788</v>
      </c>
    </row>
    <row r="78" spans="1:14" ht="30" customHeight="1" x14ac:dyDescent="0.25">
      <c r="A78" s="6" t="s">
        <v>948</v>
      </c>
      <c r="B78" s="6" t="s">
        <v>173</v>
      </c>
      <c r="C78" s="7" t="s">
        <v>174</v>
      </c>
      <c r="D78" s="7" t="s">
        <v>609</v>
      </c>
      <c r="E78" s="7" t="s">
        <v>610</v>
      </c>
      <c r="F78" s="7" t="s">
        <v>611</v>
      </c>
      <c r="G78" s="7" t="s">
        <v>14</v>
      </c>
      <c r="H78" s="7" t="s">
        <v>49</v>
      </c>
      <c r="I78" s="7" t="s">
        <v>48</v>
      </c>
      <c r="J78" s="7" t="s">
        <v>802</v>
      </c>
      <c r="K78" s="7" t="s">
        <v>946</v>
      </c>
      <c r="L78" s="7" t="s">
        <v>791</v>
      </c>
      <c r="M78" s="7" t="s">
        <v>74</v>
      </c>
      <c r="N78" s="7" t="s">
        <v>788</v>
      </c>
    </row>
    <row r="79" spans="1:14" ht="30" customHeight="1" x14ac:dyDescent="0.25">
      <c r="A79" s="6" t="s">
        <v>949</v>
      </c>
      <c r="B79" s="6" t="s">
        <v>176</v>
      </c>
      <c r="C79" s="7" t="s">
        <v>177</v>
      </c>
      <c r="D79" s="7" t="s">
        <v>665</v>
      </c>
      <c r="E79" s="7" t="s">
        <v>666</v>
      </c>
      <c r="F79" s="7" t="s">
        <v>667</v>
      </c>
      <c r="G79" s="7" t="s">
        <v>14</v>
      </c>
      <c r="H79" s="7" t="s">
        <v>67</v>
      </c>
      <c r="I79" s="7" t="s">
        <v>66</v>
      </c>
      <c r="J79" s="7" t="s">
        <v>802</v>
      </c>
      <c r="K79" s="7" t="s">
        <v>950</v>
      </c>
      <c r="L79" s="7" t="s">
        <v>791</v>
      </c>
      <c r="M79" s="7" t="s">
        <v>74</v>
      </c>
      <c r="N79" s="7" t="s">
        <v>788</v>
      </c>
    </row>
    <row r="80" spans="1:14" ht="30" customHeight="1" x14ac:dyDescent="0.25">
      <c r="A80" s="6" t="s">
        <v>951</v>
      </c>
      <c r="B80" s="6" t="s">
        <v>180</v>
      </c>
      <c r="C80" s="7" t="s">
        <v>181</v>
      </c>
      <c r="D80" s="7" t="s">
        <v>617</v>
      </c>
      <c r="E80" s="7" t="s">
        <v>618</v>
      </c>
      <c r="F80" s="7" t="s">
        <v>615</v>
      </c>
      <c r="G80" s="7" t="s">
        <v>14</v>
      </c>
      <c r="H80" s="7" t="s">
        <v>49</v>
      </c>
      <c r="I80" s="7" t="s">
        <v>48</v>
      </c>
      <c r="J80" s="7" t="s">
        <v>802</v>
      </c>
      <c r="K80" s="7" t="s">
        <v>952</v>
      </c>
      <c r="L80" s="7" t="s">
        <v>791</v>
      </c>
      <c r="M80" s="7" t="s">
        <v>74</v>
      </c>
      <c r="N80" s="7" t="s">
        <v>788</v>
      </c>
    </row>
    <row r="81" spans="1:14" ht="30" customHeight="1" x14ac:dyDescent="0.25">
      <c r="A81" s="6" t="s">
        <v>953</v>
      </c>
      <c r="B81" s="6" t="s">
        <v>180</v>
      </c>
      <c r="C81" s="7" t="s">
        <v>181</v>
      </c>
      <c r="D81" s="7" t="s">
        <v>600</v>
      </c>
      <c r="E81" s="7" t="s">
        <v>601</v>
      </c>
      <c r="F81" s="7" t="s">
        <v>602</v>
      </c>
      <c r="G81" s="7" t="s">
        <v>14</v>
      </c>
      <c r="H81" s="7" t="s">
        <v>49</v>
      </c>
      <c r="I81" s="7" t="s">
        <v>48</v>
      </c>
      <c r="J81" s="7" t="s">
        <v>802</v>
      </c>
      <c r="K81" s="7" t="s">
        <v>936</v>
      </c>
      <c r="L81" s="7" t="s">
        <v>791</v>
      </c>
      <c r="M81" s="7" t="s">
        <v>74</v>
      </c>
      <c r="N81" s="7" t="s">
        <v>788</v>
      </c>
    </row>
    <row r="82" spans="1:14" ht="30" customHeight="1" x14ac:dyDescent="0.25">
      <c r="A82" s="6" t="s">
        <v>954</v>
      </c>
      <c r="B82" s="6" t="s">
        <v>183</v>
      </c>
      <c r="C82" s="7" t="s">
        <v>184</v>
      </c>
      <c r="D82" s="7" t="s">
        <v>640</v>
      </c>
      <c r="E82" s="7" t="s">
        <v>641</v>
      </c>
      <c r="F82" s="7" t="s">
        <v>642</v>
      </c>
      <c r="G82" s="7" t="s">
        <v>14</v>
      </c>
      <c r="H82" s="7" t="s">
        <v>49</v>
      </c>
      <c r="I82" s="7" t="s">
        <v>48</v>
      </c>
      <c r="J82" s="7" t="s">
        <v>784</v>
      </c>
      <c r="K82" s="7" t="s">
        <v>955</v>
      </c>
      <c r="L82" s="7" t="s">
        <v>791</v>
      </c>
      <c r="M82" s="7" t="s">
        <v>74</v>
      </c>
      <c r="N82" s="7" t="s">
        <v>788</v>
      </c>
    </row>
    <row r="83" spans="1:14" ht="30" customHeight="1" x14ac:dyDescent="0.25">
      <c r="A83" s="6" t="s">
        <v>956</v>
      </c>
      <c r="B83" s="6" t="s">
        <v>183</v>
      </c>
      <c r="C83" s="7" t="s">
        <v>184</v>
      </c>
      <c r="D83" s="7" t="s">
        <v>600</v>
      </c>
      <c r="E83" s="7" t="s">
        <v>601</v>
      </c>
      <c r="F83" s="7" t="s">
        <v>602</v>
      </c>
      <c r="G83" s="7" t="s">
        <v>14</v>
      </c>
      <c r="H83" s="7" t="s">
        <v>49</v>
      </c>
      <c r="I83" s="7" t="s">
        <v>48</v>
      </c>
      <c r="J83" s="7" t="s">
        <v>784</v>
      </c>
      <c r="K83" s="7" t="s">
        <v>936</v>
      </c>
      <c r="L83" s="7" t="s">
        <v>791</v>
      </c>
      <c r="M83" s="7" t="s">
        <v>74</v>
      </c>
      <c r="N83" s="7" t="s">
        <v>788</v>
      </c>
    </row>
    <row r="84" spans="1:14" ht="30" customHeight="1" x14ac:dyDescent="0.25">
      <c r="A84" s="6" t="s">
        <v>957</v>
      </c>
      <c r="B84" s="6" t="s">
        <v>188</v>
      </c>
      <c r="C84" s="7" t="s">
        <v>189</v>
      </c>
      <c r="D84" s="7" t="s">
        <v>617</v>
      </c>
      <c r="E84" s="7" t="s">
        <v>618</v>
      </c>
      <c r="F84" s="7" t="s">
        <v>615</v>
      </c>
      <c r="G84" s="7" t="s">
        <v>14</v>
      </c>
      <c r="H84" s="7" t="s">
        <v>49</v>
      </c>
      <c r="I84" s="7" t="s">
        <v>48</v>
      </c>
      <c r="J84" s="7" t="s">
        <v>802</v>
      </c>
      <c r="K84" s="7" t="s">
        <v>958</v>
      </c>
      <c r="L84" s="7" t="s">
        <v>791</v>
      </c>
      <c r="M84" s="7" t="s">
        <v>74</v>
      </c>
      <c r="N84" s="7" t="s">
        <v>788</v>
      </c>
    </row>
    <row r="85" spans="1:14" ht="30" customHeight="1" x14ac:dyDescent="0.25">
      <c r="A85" s="6" t="s">
        <v>959</v>
      </c>
      <c r="B85" s="6" t="s">
        <v>188</v>
      </c>
      <c r="C85" s="7" t="s">
        <v>189</v>
      </c>
      <c r="D85" s="7" t="s">
        <v>609</v>
      </c>
      <c r="E85" s="7" t="s">
        <v>610</v>
      </c>
      <c r="F85" s="7" t="s">
        <v>611</v>
      </c>
      <c r="G85" s="7" t="s">
        <v>14</v>
      </c>
      <c r="H85" s="7" t="s">
        <v>49</v>
      </c>
      <c r="I85" s="7" t="s">
        <v>48</v>
      </c>
      <c r="J85" s="7" t="s">
        <v>802</v>
      </c>
      <c r="K85" s="7" t="s">
        <v>960</v>
      </c>
      <c r="L85" s="7" t="s">
        <v>791</v>
      </c>
      <c r="M85" s="7" t="s">
        <v>74</v>
      </c>
      <c r="N85" s="7" t="s">
        <v>788</v>
      </c>
    </row>
    <row r="86" spans="1:14" ht="30" customHeight="1" x14ac:dyDescent="0.25">
      <c r="A86" s="6" t="s">
        <v>961</v>
      </c>
      <c r="B86" s="6" t="s">
        <v>191</v>
      </c>
      <c r="C86" s="7" t="s">
        <v>192</v>
      </c>
      <c r="D86" s="7" t="s">
        <v>617</v>
      </c>
      <c r="E86" s="7" t="s">
        <v>618</v>
      </c>
      <c r="F86" s="7" t="s">
        <v>615</v>
      </c>
      <c r="G86" s="7" t="s">
        <v>14</v>
      </c>
      <c r="H86" s="7" t="s">
        <v>49</v>
      </c>
      <c r="I86" s="7" t="s">
        <v>48</v>
      </c>
      <c r="J86" s="7" t="s">
        <v>807</v>
      </c>
      <c r="K86" s="7" t="s">
        <v>962</v>
      </c>
      <c r="L86" s="7" t="s">
        <v>791</v>
      </c>
      <c r="M86" s="7" t="s">
        <v>74</v>
      </c>
      <c r="N86" s="7" t="s">
        <v>788</v>
      </c>
    </row>
    <row r="87" spans="1:14" ht="30" customHeight="1" x14ac:dyDescent="0.25">
      <c r="A87" s="6" t="s">
        <v>963</v>
      </c>
      <c r="B87" s="6" t="s">
        <v>194</v>
      </c>
      <c r="C87" s="7" t="s">
        <v>195</v>
      </c>
      <c r="D87" s="7" t="s">
        <v>617</v>
      </c>
      <c r="E87" s="7" t="s">
        <v>618</v>
      </c>
      <c r="F87" s="7" t="s">
        <v>615</v>
      </c>
      <c r="G87" s="7" t="s">
        <v>14</v>
      </c>
      <c r="H87" s="7" t="s">
        <v>49</v>
      </c>
      <c r="I87" s="7" t="s">
        <v>48</v>
      </c>
      <c r="J87" s="7" t="s">
        <v>807</v>
      </c>
      <c r="K87" s="7" t="s">
        <v>962</v>
      </c>
      <c r="L87" s="7" t="s">
        <v>791</v>
      </c>
      <c r="M87" s="7" t="s">
        <v>74</v>
      </c>
      <c r="N87" s="7" t="s">
        <v>788</v>
      </c>
    </row>
    <row r="88" spans="1:14" ht="30" customHeight="1" x14ac:dyDescent="0.25">
      <c r="A88" s="6" t="s">
        <v>964</v>
      </c>
      <c r="B88" s="6" t="s">
        <v>196</v>
      </c>
      <c r="C88" s="7" t="s">
        <v>197</v>
      </c>
      <c r="D88" s="7" t="s">
        <v>640</v>
      </c>
      <c r="E88" s="7" t="s">
        <v>641</v>
      </c>
      <c r="F88" s="7" t="s">
        <v>642</v>
      </c>
      <c r="G88" s="7" t="s">
        <v>14</v>
      </c>
      <c r="H88" s="7" t="s">
        <v>49</v>
      </c>
      <c r="I88" s="7" t="s">
        <v>48</v>
      </c>
      <c r="J88" s="7" t="s">
        <v>784</v>
      </c>
      <c r="K88" s="7" t="s">
        <v>965</v>
      </c>
      <c r="L88" s="7" t="s">
        <v>791</v>
      </c>
      <c r="M88" s="7" t="s">
        <v>74</v>
      </c>
      <c r="N88" s="7" t="s">
        <v>788</v>
      </c>
    </row>
    <row r="89" spans="1:14" ht="30" customHeight="1" x14ac:dyDescent="0.25">
      <c r="A89" s="6" t="s">
        <v>966</v>
      </c>
      <c r="B89" s="6" t="s">
        <v>196</v>
      </c>
      <c r="C89" s="7" t="s">
        <v>197</v>
      </c>
      <c r="D89" s="7" t="s">
        <v>665</v>
      </c>
      <c r="E89" s="7" t="s">
        <v>666</v>
      </c>
      <c r="F89" s="7" t="s">
        <v>667</v>
      </c>
      <c r="G89" s="7" t="s">
        <v>14</v>
      </c>
      <c r="H89" s="7" t="s">
        <v>49</v>
      </c>
      <c r="I89" s="7" t="s">
        <v>66</v>
      </c>
      <c r="J89" s="7" t="s">
        <v>784</v>
      </c>
      <c r="K89" s="7" t="s">
        <v>967</v>
      </c>
      <c r="L89" s="7" t="s">
        <v>786</v>
      </c>
      <c r="M89" s="7" t="s">
        <v>74</v>
      </c>
      <c r="N89" s="7" t="s">
        <v>788</v>
      </c>
    </row>
    <row r="90" spans="1:14" ht="30" customHeight="1" x14ac:dyDescent="0.25">
      <c r="A90" s="6" t="s">
        <v>968</v>
      </c>
      <c r="B90" s="6" t="s">
        <v>201</v>
      </c>
      <c r="C90" s="7" t="s">
        <v>202</v>
      </c>
      <c r="D90" s="7" t="s">
        <v>640</v>
      </c>
      <c r="E90" s="7" t="s">
        <v>641</v>
      </c>
      <c r="F90" s="7" t="s">
        <v>642</v>
      </c>
      <c r="G90" s="7" t="s">
        <v>14</v>
      </c>
      <c r="H90" s="7" t="s">
        <v>49</v>
      </c>
      <c r="I90" s="7" t="s">
        <v>48</v>
      </c>
      <c r="J90" s="7" t="s">
        <v>784</v>
      </c>
      <c r="K90" s="7" t="s">
        <v>969</v>
      </c>
      <c r="L90" s="7" t="s">
        <v>791</v>
      </c>
      <c r="M90" s="7" t="s">
        <v>74</v>
      </c>
      <c r="N90" s="7" t="s">
        <v>788</v>
      </c>
    </row>
    <row r="91" spans="1:14" ht="30" customHeight="1" x14ac:dyDescent="0.25">
      <c r="A91" s="6" t="s">
        <v>970</v>
      </c>
      <c r="B91" s="6" t="s">
        <v>201</v>
      </c>
      <c r="C91" s="7" t="s">
        <v>202</v>
      </c>
      <c r="D91" s="7" t="s">
        <v>617</v>
      </c>
      <c r="E91" s="7" t="s">
        <v>618</v>
      </c>
      <c r="F91" s="7" t="s">
        <v>615</v>
      </c>
      <c r="G91" s="7" t="s">
        <v>14</v>
      </c>
      <c r="H91" s="7" t="s">
        <v>49</v>
      </c>
      <c r="I91" s="7" t="s">
        <v>48</v>
      </c>
      <c r="J91" s="7" t="s">
        <v>784</v>
      </c>
      <c r="K91" s="7" t="s">
        <v>971</v>
      </c>
      <c r="L91" s="7" t="s">
        <v>791</v>
      </c>
      <c r="M91" s="7" t="s">
        <v>74</v>
      </c>
      <c r="N91" s="7" t="s">
        <v>788</v>
      </c>
    </row>
    <row r="92" spans="1:14" ht="30" customHeight="1" x14ac:dyDescent="0.25">
      <c r="A92" s="6" t="s">
        <v>972</v>
      </c>
      <c r="B92" s="6" t="s">
        <v>203</v>
      </c>
      <c r="C92" s="7" t="s">
        <v>204</v>
      </c>
      <c r="D92" s="7" t="s">
        <v>640</v>
      </c>
      <c r="E92" s="7" t="s">
        <v>641</v>
      </c>
      <c r="F92" s="7" t="s">
        <v>642</v>
      </c>
      <c r="G92" s="7" t="s">
        <v>14</v>
      </c>
      <c r="H92" s="7" t="s">
        <v>49</v>
      </c>
      <c r="I92" s="7" t="s">
        <v>48</v>
      </c>
      <c r="J92" s="7" t="s">
        <v>784</v>
      </c>
      <c r="K92" s="7" t="s">
        <v>973</v>
      </c>
      <c r="L92" s="7" t="s">
        <v>791</v>
      </c>
      <c r="M92" s="7" t="s">
        <v>74</v>
      </c>
      <c r="N92" s="7" t="s">
        <v>788</v>
      </c>
    </row>
    <row r="93" spans="1:14" ht="30" customHeight="1" x14ac:dyDescent="0.25">
      <c r="A93" s="6" t="s">
        <v>974</v>
      </c>
      <c r="B93" s="6" t="s">
        <v>203</v>
      </c>
      <c r="C93" s="7" t="s">
        <v>204</v>
      </c>
      <c r="D93" s="7" t="s">
        <v>617</v>
      </c>
      <c r="E93" s="7" t="s">
        <v>618</v>
      </c>
      <c r="F93" s="7" t="s">
        <v>615</v>
      </c>
      <c r="G93" s="7" t="s">
        <v>14</v>
      </c>
      <c r="H93" s="7" t="s">
        <v>49</v>
      </c>
      <c r="I93" s="7" t="s">
        <v>48</v>
      </c>
      <c r="J93" s="7" t="s">
        <v>784</v>
      </c>
      <c r="K93" s="7" t="s">
        <v>975</v>
      </c>
      <c r="L93" s="7" t="s">
        <v>791</v>
      </c>
      <c r="M93" s="7" t="s">
        <v>74</v>
      </c>
      <c r="N93" s="7" t="s">
        <v>788</v>
      </c>
    </row>
    <row r="94" spans="1:14" ht="30" customHeight="1" x14ac:dyDescent="0.25">
      <c r="A94" s="6" t="s">
        <v>976</v>
      </c>
      <c r="B94" s="6" t="s">
        <v>207</v>
      </c>
      <c r="C94" s="7" t="s">
        <v>208</v>
      </c>
      <c r="D94" s="7" t="s">
        <v>640</v>
      </c>
      <c r="E94" s="7" t="s">
        <v>641</v>
      </c>
      <c r="F94" s="7" t="s">
        <v>642</v>
      </c>
      <c r="G94" s="7" t="s">
        <v>14</v>
      </c>
      <c r="H94" s="7" t="s">
        <v>49</v>
      </c>
      <c r="I94" s="7" t="s">
        <v>48</v>
      </c>
      <c r="J94" s="7" t="s">
        <v>784</v>
      </c>
      <c r="K94" s="7" t="s">
        <v>977</v>
      </c>
      <c r="L94" s="7" t="s">
        <v>791</v>
      </c>
      <c r="M94" s="7" t="s">
        <v>74</v>
      </c>
      <c r="N94" s="7" t="s">
        <v>788</v>
      </c>
    </row>
    <row r="95" spans="1:14" ht="30" customHeight="1" x14ac:dyDescent="0.25">
      <c r="A95" s="6" t="s">
        <v>978</v>
      </c>
      <c r="B95" s="6" t="s">
        <v>210</v>
      </c>
      <c r="C95" s="7" t="s">
        <v>211</v>
      </c>
      <c r="D95" s="7" t="s">
        <v>640</v>
      </c>
      <c r="E95" s="7" t="s">
        <v>641</v>
      </c>
      <c r="F95" s="7" t="s">
        <v>642</v>
      </c>
      <c r="G95" s="7" t="s">
        <v>14</v>
      </c>
      <c r="H95" s="7" t="s">
        <v>49</v>
      </c>
      <c r="I95" s="7" t="s">
        <v>48</v>
      </c>
      <c r="J95" s="7" t="s">
        <v>784</v>
      </c>
      <c r="K95" s="7" t="s">
        <v>977</v>
      </c>
      <c r="L95" s="7" t="s">
        <v>791</v>
      </c>
      <c r="M95" s="7" t="s">
        <v>74</v>
      </c>
      <c r="N95" s="7" t="s">
        <v>788</v>
      </c>
    </row>
    <row r="96" spans="1:14" ht="30" customHeight="1" x14ac:dyDescent="0.25">
      <c r="A96" s="6" t="s">
        <v>979</v>
      </c>
      <c r="B96" s="6" t="s">
        <v>212</v>
      </c>
      <c r="C96" s="7" t="s">
        <v>213</v>
      </c>
      <c r="D96" s="7" t="s">
        <v>640</v>
      </c>
      <c r="E96" s="7" t="s">
        <v>641</v>
      </c>
      <c r="F96" s="7" t="s">
        <v>642</v>
      </c>
      <c r="G96" s="7" t="s">
        <v>14</v>
      </c>
      <c r="H96" s="7" t="s">
        <v>49</v>
      </c>
      <c r="I96" s="7" t="s">
        <v>48</v>
      </c>
      <c r="J96" s="7" t="s">
        <v>784</v>
      </c>
      <c r="K96" s="7" t="s">
        <v>977</v>
      </c>
      <c r="L96" s="7" t="s">
        <v>791</v>
      </c>
      <c r="M96" s="7" t="s">
        <v>74</v>
      </c>
      <c r="N96" s="7" t="s">
        <v>788</v>
      </c>
    </row>
    <row r="97" spans="1:14" ht="30" customHeight="1" x14ac:dyDescent="0.25">
      <c r="A97" s="6" t="s">
        <v>980</v>
      </c>
      <c r="B97" s="6" t="s">
        <v>215</v>
      </c>
      <c r="C97" s="7" t="s">
        <v>216</v>
      </c>
      <c r="D97" s="7" t="s">
        <v>640</v>
      </c>
      <c r="E97" s="7" t="s">
        <v>641</v>
      </c>
      <c r="F97" s="7" t="s">
        <v>642</v>
      </c>
      <c r="G97" s="7" t="s">
        <v>14</v>
      </c>
      <c r="H97" s="7" t="s">
        <v>49</v>
      </c>
      <c r="I97" s="7" t="s">
        <v>48</v>
      </c>
      <c r="J97" s="7" t="s">
        <v>784</v>
      </c>
      <c r="K97" s="7" t="s">
        <v>977</v>
      </c>
      <c r="L97" s="7" t="s">
        <v>791</v>
      </c>
      <c r="M97" s="7" t="s">
        <v>74</v>
      </c>
      <c r="N97" s="7" t="s">
        <v>788</v>
      </c>
    </row>
    <row r="98" spans="1:14" ht="30" customHeight="1" x14ac:dyDescent="0.25">
      <c r="A98" s="6" t="s">
        <v>981</v>
      </c>
      <c r="B98" s="6" t="s">
        <v>218</v>
      </c>
      <c r="C98" s="7" t="s">
        <v>219</v>
      </c>
      <c r="D98" s="7" t="s">
        <v>636</v>
      </c>
      <c r="E98" s="7" t="s">
        <v>637</v>
      </c>
      <c r="F98" s="7" t="s">
        <v>638</v>
      </c>
      <c r="G98" s="7" t="s">
        <v>14</v>
      </c>
      <c r="H98" s="7" t="s">
        <v>49</v>
      </c>
      <c r="I98" s="7" t="s">
        <v>48</v>
      </c>
      <c r="J98" s="7" t="s">
        <v>784</v>
      </c>
      <c r="K98" s="7" t="s">
        <v>982</v>
      </c>
      <c r="L98" s="7" t="s">
        <v>791</v>
      </c>
      <c r="M98" s="7" t="s">
        <v>74</v>
      </c>
      <c r="N98" s="7" t="s">
        <v>788</v>
      </c>
    </row>
    <row r="99" spans="1:14" ht="30" customHeight="1" x14ac:dyDescent="0.25">
      <c r="A99" s="6" t="s">
        <v>983</v>
      </c>
      <c r="B99" s="6" t="s">
        <v>218</v>
      </c>
      <c r="C99" s="7" t="s">
        <v>219</v>
      </c>
      <c r="D99" s="7" t="s">
        <v>640</v>
      </c>
      <c r="E99" s="7" t="s">
        <v>641</v>
      </c>
      <c r="F99" s="7" t="s">
        <v>642</v>
      </c>
      <c r="G99" s="7" t="s">
        <v>14</v>
      </c>
      <c r="H99" s="7" t="s">
        <v>49</v>
      </c>
      <c r="I99" s="7" t="s">
        <v>48</v>
      </c>
      <c r="J99" s="7" t="s">
        <v>784</v>
      </c>
      <c r="K99" s="7" t="s">
        <v>977</v>
      </c>
      <c r="L99" s="7" t="s">
        <v>791</v>
      </c>
      <c r="M99" s="7" t="s">
        <v>74</v>
      </c>
      <c r="N99" s="7" t="s">
        <v>788</v>
      </c>
    </row>
    <row r="100" spans="1:14" ht="30" customHeight="1" x14ac:dyDescent="0.25">
      <c r="A100" s="6" t="s">
        <v>984</v>
      </c>
      <c r="B100" s="6" t="s">
        <v>222</v>
      </c>
      <c r="C100" s="7" t="s">
        <v>223</v>
      </c>
      <c r="D100" s="7" t="s">
        <v>640</v>
      </c>
      <c r="E100" s="7" t="s">
        <v>641</v>
      </c>
      <c r="F100" s="7" t="s">
        <v>642</v>
      </c>
      <c r="G100" s="7" t="s">
        <v>13</v>
      </c>
      <c r="H100" s="7" t="s">
        <v>109</v>
      </c>
      <c r="I100" s="7" t="s">
        <v>48</v>
      </c>
      <c r="J100" s="7" t="s">
        <v>784</v>
      </c>
      <c r="K100" s="7" t="s">
        <v>985</v>
      </c>
      <c r="L100" s="7" t="s">
        <v>791</v>
      </c>
      <c r="M100" s="7" t="s">
        <v>986</v>
      </c>
      <c r="N100" s="7" t="s">
        <v>788</v>
      </c>
    </row>
    <row r="101" spans="1:14" ht="30" customHeight="1" x14ac:dyDescent="0.25">
      <c r="A101" s="6" t="s">
        <v>987</v>
      </c>
      <c r="B101" s="6" t="s">
        <v>226</v>
      </c>
      <c r="C101" s="7" t="s">
        <v>227</v>
      </c>
      <c r="D101" s="7" t="s">
        <v>640</v>
      </c>
      <c r="E101" s="7" t="s">
        <v>641</v>
      </c>
      <c r="F101" s="7" t="s">
        <v>642</v>
      </c>
      <c r="G101" s="7" t="s">
        <v>14</v>
      </c>
      <c r="H101" s="7" t="s">
        <v>49</v>
      </c>
      <c r="I101" s="7" t="s">
        <v>48</v>
      </c>
      <c r="J101" s="7" t="s">
        <v>784</v>
      </c>
      <c r="K101" s="7" t="s">
        <v>977</v>
      </c>
      <c r="L101" s="7" t="s">
        <v>791</v>
      </c>
      <c r="M101" s="7" t="s">
        <v>74</v>
      </c>
      <c r="N101" s="7" t="s">
        <v>788</v>
      </c>
    </row>
    <row r="102" spans="1:14" ht="30" customHeight="1" x14ac:dyDescent="0.25">
      <c r="A102" s="6" t="s">
        <v>988</v>
      </c>
      <c r="B102" s="6" t="s">
        <v>229</v>
      </c>
      <c r="C102" s="7" t="s">
        <v>230</v>
      </c>
      <c r="D102" s="7" t="s">
        <v>640</v>
      </c>
      <c r="E102" s="7" t="s">
        <v>641</v>
      </c>
      <c r="F102" s="7" t="s">
        <v>642</v>
      </c>
      <c r="G102" s="7" t="s">
        <v>14</v>
      </c>
      <c r="H102" s="7" t="s">
        <v>49</v>
      </c>
      <c r="I102" s="7" t="s">
        <v>48</v>
      </c>
      <c r="J102" s="7" t="s">
        <v>784</v>
      </c>
      <c r="K102" s="7" t="s">
        <v>989</v>
      </c>
      <c r="L102" s="7" t="s">
        <v>791</v>
      </c>
      <c r="M102" s="7" t="s">
        <v>74</v>
      </c>
      <c r="N102" s="7" t="s">
        <v>788</v>
      </c>
    </row>
    <row r="103" spans="1:14" ht="30" customHeight="1" x14ac:dyDescent="0.25">
      <c r="A103" s="6" t="s">
        <v>990</v>
      </c>
      <c r="B103" s="6" t="s">
        <v>229</v>
      </c>
      <c r="C103" s="7" t="s">
        <v>230</v>
      </c>
      <c r="D103" s="7" t="s">
        <v>617</v>
      </c>
      <c r="E103" s="7" t="s">
        <v>618</v>
      </c>
      <c r="F103" s="7" t="s">
        <v>615</v>
      </c>
      <c r="G103" s="7" t="s">
        <v>14</v>
      </c>
      <c r="H103" s="7" t="s">
        <v>49</v>
      </c>
      <c r="I103" s="7" t="s">
        <v>48</v>
      </c>
      <c r="J103" s="7" t="s">
        <v>784</v>
      </c>
      <c r="K103" s="7" t="s">
        <v>971</v>
      </c>
      <c r="L103" s="7" t="s">
        <v>791</v>
      </c>
      <c r="M103" s="7" t="s">
        <v>74</v>
      </c>
      <c r="N103" s="7" t="s">
        <v>788</v>
      </c>
    </row>
    <row r="104" spans="1:14" ht="30" customHeight="1" x14ac:dyDescent="0.25">
      <c r="A104" s="6" t="s">
        <v>991</v>
      </c>
      <c r="B104" s="6" t="s">
        <v>232</v>
      </c>
      <c r="C104" s="7" t="s">
        <v>233</v>
      </c>
      <c r="D104" s="7" t="s">
        <v>640</v>
      </c>
      <c r="E104" s="7" t="s">
        <v>641</v>
      </c>
      <c r="F104" s="7" t="s">
        <v>642</v>
      </c>
      <c r="G104" s="7" t="s">
        <v>14</v>
      </c>
      <c r="H104" s="7" t="s">
        <v>49</v>
      </c>
      <c r="I104" s="7" t="s">
        <v>48</v>
      </c>
      <c r="J104" s="7" t="s">
        <v>784</v>
      </c>
      <c r="K104" s="7" t="s">
        <v>977</v>
      </c>
      <c r="L104" s="7" t="s">
        <v>791</v>
      </c>
      <c r="M104" s="7" t="s">
        <v>74</v>
      </c>
      <c r="N104" s="7" t="s">
        <v>788</v>
      </c>
    </row>
    <row r="105" spans="1:14" ht="30" customHeight="1" x14ac:dyDescent="0.25">
      <c r="A105" s="6" t="s">
        <v>992</v>
      </c>
      <c r="B105" s="6" t="s">
        <v>235</v>
      </c>
      <c r="C105" s="7" t="s">
        <v>236</v>
      </c>
      <c r="D105" s="7" t="s">
        <v>640</v>
      </c>
      <c r="E105" s="7" t="s">
        <v>641</v>
      </c>
      <c r="F105" s="7" t="s">
        <v>642</v>
      </c>
      <c r="G105" s="7" t="s">
        <v>14</v>
      </c>
      <c r="H105" s="7" t="s">
        <v>49</v>
      </c>
      <c r="I105" s="7" t="s">
        <v>48</v>
      </c>
      <c r="J105" s="7" t="s">
        <v>784</v>
      </c>
      <c r="K105" s="7" t="s">
        <v>977</v>
      </c>
      <c r="L105" s="7" t="s">
        <v>791</v>
      </c>
      <c r="M105" s="7" t="s">
        <v>74</v>
      </c>
      <c r="N105" s="7" t="s">
        <v>788</v>
      </c>
    </row>
    <row r="106" spans="1:14" ht="30" customHeight="1" x14ac:dyDescent="0.25">
      <c r="A106" s="6" t="s">
        <v>993</v>
      </c>
      <c r="B106" s="6" t="s">
        <v>238</v>
      </c>
      <c r="C106" s="7" t="s">
        <v>239</v>
      </c>
      <c r="D106" s="7" t="s">
        <v>636</v>
      </c>
      <c r="E106" s="7" t="s">
        <v>637</v>
      </c>
      <c r="F106" s="7" t="s">
        <v>638</v>
      </c>
      <c r="G106" s="7" t="s">
        <v>13</v>
      </c>
      <c r="H106" s="7" t="s">
        <v>58</v>
      </c>
      <c r="I106" s="7" t="s">
        <v>48</v>
      </c>
      <c r="J106" s="7" t="s">
        <v>784</v>
      </c>
      <c r="K106" s="7" t="s">
        <v>821</v>
      </c>
      <c r="L106" s="7" t="s">
        <v>796</v>
      </c>
      <c r="M106" s="7" t="s">
        <v>994</v>
      </c>
      <c r="N106" s="7" t="s">
        <v>788</v>
      </c>
    </row>
    <row r="107" spans="1:14" ht="30" customHeight="1" x14ac:dyDescent="0.25">
      <c r="A107" s="6" t="s">
        <v>995</v>
      </c>
      <c r="B107" s="6" t="s">
        <v>238</v>
      </c>
      <c r="C107" s="7" t="s">
        <v>239</v>
      </c>
      <c r="D107" s="7" t="s">
        <v>617</v>
      </c>
      <c r="E107" s="7" t="s">
        <v>618</v>
      </c>
      <c r="F107" s="7" t="s">
        <v>615</v>
      </c>
      <c r="G107" s="7" t="s">
        <v>14</v>
      </c>
      <c r="H107" s="7" t="s">
        <v>49</v>
      </c>
      <c r="I107" s="7" t="s">
        <v>48</v>
      </c>
      <c r="J107" s="7" t="s">
        <v>784</v>
      </c>
      <c r="K107" s="7" t="s">
        <v>996</v>
      </c>
      <c r="L107" s="7" t="s">
        <v>791</v>
      </c>
      <c r="M107" s="7" t="s">
        <v>74</v>
      </c>
      <c r="N107" s="7" t="s">
        <v>788</v>
      </c>
    </row>
    <row r="108" spans="1:14" ht="30" customHeight="1" x14ac:dyDescent="0.25">
      <c r="A108" s="6" t="s">
        <v>997</v>
      </c>
      <c r="B108" s="6" t="s">
        <v>238</v>
      </c>
      <c r="C108" s="7" t="s">
        <v>239</v>
      </c>
      <c r="D108" s="7" t="s">
        <v>640</v>
      </c>
      <c r="E108" s="7" t="s">
        <v>641</v>
      </c>
      <c r="F108" s="7" t="s">
        <v>642</v>
      </c>
      <c r="G108" s="7" t="s">
        <v>14</v>
      </c>
      <c r="H108" s="7" t="s">
        <v>49</v>
      </c>
      <c r="I108" s="7" t="s">
        <v>48</v>
      </c>
      <c r="J108" s="7" t="s">
        <v>784</v>
      </c>
      <c r="K108" s="7" t="s">
        <v>998</v>
      </c>
      <c r="L108" s="7" t="s">
        <v>791</v>
      </c>
      <c r="M108" s="7" t="s">
        <v>74</v>
      </c>
      <c r="N108" s="7" t="s">
        <v>788</v>
      </c>
    </row>
    <row r="109" spans="1:14" ht="30" customHeight="1" x14ac:dyDescent="0.25">
      <c r="A109" s="6" t="s">
        <v>999</v>
      </c>
      <c r="B109" s="6" t="s">
        <v>241</v>
      </c>
      <c r="C109" s="7" t="s">
        <v>242</v>
      </c>
      <c r="D109" s="7" t="s">
        <v>640</v>
      </c>
      <c r="E109" s="7" t="s">
        <v>641</v>
      </c>
      <c r="F109" s="7" t="s">
        <v>642</v>
      </c>
      <c r="G109" s="7" t="s">
        <v>13</v>
      </c>
      <c r="H109" s="7" t="s">
        <v>109</v>
      </c>
      <c r="I109" s="7" t="s">
        <v>48</v>
      </c>
      <c r="J109" s="7" t="s">
        <v>784</v>
      </c>
      <c r="K109" s="7" t="s">
        <v>985</v>
      </c>
      <c r="L109" s="7" t="s">
        <v>791</v>
      </c>
      <c r="M109" s="7" t="s">
        <v>1000</v>
      </c>
      <c r="N109" s="7" t="s">
        <v>788</v>
      </c>
    </row>
    <row r="110" spans="1:14" ht="30" customHeight="1" x14ac:dyDescent="0.25">
      <c r="A110" s="6" t="s">
        <v>1001</v>
      </c>
      <c r="B110" s="6" t="s">
        <v>241</v>
      </c>
      <c r="C110" s="7" t="s">
        <v>242</v>
      </c>
      <c r="D110" s="7" t="s">
        <v>617</v>
      </c>
      <c r="E110" s="7" t="s">
        <v>618</v>
      </c>
      <c r="F110" s="7" t="s">
        <v>615</v>
      </c>
      <c r="G110" s="7" t="s">
        <v>13</v>
      </c>
      <c r="H110" s="7" t="s">
        <v>109</v>
      </c>
      <c r="I110" s="7" t="s">
        <v>48</v>
      </c>
      <c r="J110" s="7" t="s">
        <v>784</v>
      </c>
      <c r="K110" s="7" t="s">
        <v>971</v>
      </c>
      <c r="L110" s="7" t="s">
        <v>791</v>
      </c>
      <c r="M110" s="7" t="s">
        <v>1000</v>
      </c>
      <c r="N110" s="7" t="s">
        <v>788</v>
      </c>
    </row>
    <row r="111" spans="1:14" ht="30" customHeight="1" x14ac:dyDescent="0.25">
      <c r="A111" s="6" t="s">
        <v>1002</v>
      </c>
      <c r="B111" s="6" t="s">
        <v>246</v>
      </c>
      <c r="C111" s="7" t="s">
        <v>247</v>
      </c>
      <c r="D111" s="7" t="s">
        <v>600</v>
      </c>
      <c r="E111" s="7" t="s">
        <v>601</v>
      </c>
      <c r="F111" s="7" t="s">
        <v>602</v>
      </c>
      <c r="G111" s="7" t="s">
        <v>14</v>
      </c>
      <c r="H111" s="7" t="s">
        <v>49</v>
      </c>
      <c r="I111" s="7" t="s">
        <v>48</v>
      </c>
      <c r="J111" s="7" t="s">
        <v>802</v>
      </c>
      <c r="K111" s="7" t="s">
        <v>1003</v>
      </c>
      <c r="L111" s="7" t="s">
        <v>786</v>
      </c>
      <c r="M111" s="7" t="s">
        <v>251</v>
      </c>
      <c r="N111" s="7" t="s">
        <v>788</v>
      </c>
    </row>
    <row r="112" spans="1:14" ht="30" customHeight="1" x14ac:dyDescent="0.25">
      <c r="A112" s="6" t="s">
        <v>1004</v>
      </c>
      <c r="B112" s="6" t="s">
        <v>246</v>
      </c>
      <c r="C112" s="7" t="s">
        <v>247</v>
      </c>
      <c r="D112" s="7" t="s">
        <v>665</v>
      </c>
      <c r="E112" s="7" t="s">
        <v>666</v>
      </c>
      <c r="F112" s="7" t="s">
        <v>667</v>
      </c>
      <c r="G112" s="7" t="s">
        <v>14</v>
      </c>
      <c r="H112" s="7" t="s">
        <v>49</v>
      </c>
      <c r="I112" s="7" t="s">
        <v>48</v>
      </c>
      <c r="J112" s="7" t="s">
        <v>802</v>
      </c>
      <c r="K112" s="7" t="s">
        <v>1005</v>
      </c>
      <c r="L112" s="7" t="s">
        <v>786</v>
      </c>
      <c r="M112" s="7" t="s">
        <v>251</v>
      </c>
      <c r="N112" s="7" t="s">
        <v>788</v>
      </c>
    </row>
    <row r="113" spans="1:14" ht="30" customHeight="1" x14ac:dyDescent="0.25">
      <c r="A113" s="6" t="s">
        <v>1006</v>
      </c>
      <c r="B113" s="6" t="s">
        <v>246</v>
      </c>
      <c r="C113" s="7" t="s">
        <v>247</v>
      </c>
      <c r="D113" s="7" t="s">
        <v>605</v>
      </c>
      <c r="E113" s="7" t="s">
        <v>606</v>
      </c>
      <c r="F113" s="7" t="s">
        <v>607</v>
      </c>
      <c r="G113" s="7" t="s">
        <v>14</v>
      </c>
      <c r="H113" s="7" t="s">
        <v>49</v>
      </c>
      <c r="I113" s="7" t="s">
        <v>48</v>
      </c>
      <c r="J113" s="7" t="s">
        <v>802</v>
      </c>
      <c r="K113" s="7" t="s">
        <v>1007</v>
      </c>
      <c r="L113" s="7" t="s">
        <v>786</v>
      </c>
      <c r="M113" s="7" t="s">
        <v>251</v>
      </c>
      <c r="N113" s="7" t="s">
        <v>788</v>
      </c>
    </row>
    <row r="114" spans="1:14" ht="30" customHeight="1" x14ac:dyDescent="0.25">
      <c r="A114" s="6" t="s">
        <v>1008</v>
      </c>
      <c r="B114" s="6" t="s">
        <v>246</v>
      </c>
      <c r="C114" s="7" t="s">
        <v>247</v>
      </c>
      <c r="D114" s="7" t="s">
        <v>609</v>
      </c>
      <c r="E114" s="7" t="s">
        <v>610</v>
      </c>
      <c r="F114" s="7" t="s">
        <v>611</v>
      </c>
      <c r="G114" s="7" t="s">
        <v>14</v>
      </c>
      <c r="H114" s="7" t="s">
        <v>49</v>
      </c>
      <c r="I114" s="7" t="s">
        <v>66</v>
      </c>
      <c r="J114" s="7" t="s">
        <v>802</v>
      </c>
      <c r="K114" s="7" t="s">
        <v>1009</v>
      </c>
      <c r="L114" s="7" t="s">
        <v>786</v>
      </c>
      <c r="M114" s="7" t="s">
        <v>251</v>
      </c>
      <c r="N114" s="7" t="s">
        <v>788</v>
      </c>
    </row>
    <row r="115" spans="1:14" ht="30" customHeight="1" x14ac:dyDescent="0.25">
      <c r="A115" s="6" t="s">
        <v>1010</v>
      </c>
      <c r="B115" s="6" t="s">
        <v>252</v>
      </c>
      <c r="C115" s="7" t="s">
        <v>253</v>
      </c>
      <c r="D115" s="7" t="s">
        <v>600</v>
      </c>
      <c r="E115" s="7" t="s">
        <v>601</v>
      </c>
      <c r="F115" s="7" t="s">
        <v>602</v>
      </c>
      <c r="G115" s="7" t="s">
        <v>14</v>
      </c>
      <c r="H115" s="7" t="s">
        <v>49</v>
      </c>
      <c r="I115" s="7" t="s">
        <v>48</v>
      </c>
      <c r="J115" s="7" t="s">
        <v>802</v>
      </c>
      <c r="K115" s="7" t="s">
        <v>1011</v>
      </c>
      <c r="L115" s="7" t="s">
        <v>786</v>
      </c>
      <c r="M115" s="7" t="s">
        <v>321</v>
      </c>
      <c r="N115" s="7" t="s">
        <v>788</v>
      </c>
    </row>
    <row r="116" spans="1:14" ht="30" customHeight="1" x14ac:dyDescent="0.25">
      <c r="A116" s="6" t="s">
        <v>1012</v>
      </c>
      <c r="B116" s="6" t="s">
        <v>252</v>
      </c>
      <c r="C116" s="7" t="s">
        <v>253</v>
      </c>
      <c r="D116" s="7" t="s">
        <v>665</v>
      </c>
      <c r="E116" s="7" t="s">
        <v>666</v>
      </c>
      <c r="F116" s="7" t="s">
        <v>667</v>
      </c>
      <c r="G116" s="7" t="s">
        <v>14</v>
      </c>
      <c r="H116" s="7" t="s">
        <v>49</v>
      </c>
      <c r="I116" s="7" t="s">
        <v>48</v>
      </c>
      <c r="J116" s="7" t="s">
        <v>802</v>
      </c>
      <c r="K116" s="7" t="s">
        <v>1013</v>
      </c>
      <c r="L116" s="7" t="s">
        <v>786</v>
      </c>
      <c r="M116" s="7" t="s">
        <v>321</v>
      </c>
      <c r="N116" s="7" t="s">
        <v>788</v>
      </c>
    </row>
    <row r="117" spans="1:14" ht="30" customHeight="1" x14ac:dyDescent="0.25">
      <c r="A117" s="6" t="s">
        <v>1014</v>
      </c>
      <c r="B117" s="6" t="s">
        <v>255</v>
      </c>
      <c r="C117" s="7" t="s">
        <v>256</v>
      </c>
      <c r="D117" s="7" t="s">
        <v>624</v>
      </c>
      <c r="E117" s="7" t="s">
        <v>622</v>
      </c>
      <c r="F117" s="7" t="s">
        <v>622</v>
      </c>
      <c r="G117" s="7" t="s">
        <v>13</v>
      </c>
      <c r="H117" s="7" t="s">
        <v>58</v>
      </c>
      <c r="I117" s="7" t="s">
        <v>66</v>
      </c>
      <c r="J117" s="7" t="s">
        <v>802</v>
      </c>
      <c r="K117" s="7" t="s">
        <v>821</v>
      </c>
      <c r="L117" s="7" t="s">
        <v>786</v>
      </c>
      <c r="M117" s="7" t="s">
        <v>258</v>
      </c>
      <c r="N117" s="7" t="s">
        <v>788</v>
      </c>
    </row>
    <row r="118" spans="1:14" ht="30" customHeight="1" x14ac:dyDescent="0.25">
      <c r="A118" s="6" t="s">
        <v>1015</v>
      </c>
      <c r="B118" s="6" t="s">
        <v>255</v>
      </c>
      <c r="C118" s="7" t="s">
        <v>256</v>
      </c>
      <c r="D118" s="7" t="s">
        <v>600</v>
      </c>
      <c r="E118" s="7" t="s">
        <v>601</v>
      </c>
      <c r="F118" s="7" t="s">
        <v>602</v>
      </c>
      <c r="G118" s="7" t="s">
        <v>14</v>
      </c>
      <c r="H118" s="7" t="s">
        <v>49</v>
      </c>
      <c r="I118" s="7" t="s">
        <v>48</v>
      </c>
      <c r="J118" s="7" t="s">
        <v>802</v>
      </c>
      <c r="K118" s="7" t="s">
        <v>1016</v>
      </c>
      <c r="L118" s="7" t="s">
        <v>786</v>
      </c>
      <c r="M118" s="7" t="s">
        <v>258</v>
      </c>
      <c r="N118" s="7" t="s">
        <v>788</v>
      </c>
    </row>
    <row r="119" spans="1:14" ht="30" customHeight="1" x14ac:dyDescent="0.25">
      <c r="A119" s="6" t="s">
        <v>1017</v>
      </c>
      <c r="B119" s="6" t="s">
        <v>255</v>
      </c>
      <c r="C119" s="7" t="s">
        <v>256</v>
      </c>
      <c r="D119" s="7" t="s">
        <v>605</v>
      </c>
      <c r="E119" s="7" t="s">
        <v>606</v>
      </c>
      <c r="F119" s="7" t="s">
        <v>607</v>
      </c>
      <c r="G119" s="7" t="s">
        <v>13</v>
      </c>
      <c r="H119" s="7" t="s">
        <v>58</v>
      </c>
      <c r="I119" s="7" t="s">
        <v>66</v>
      </c>
      <c r="J119" s="7" t="s">
        <v>802</v>
      </c>
      <c r="K119" s="7" t="s">
        <v>821</v>
      </c>
      <c r="L119" s="7" t="s">
        <v>786</v>
      </c>
      <c r="M119" s="7" t="s">
        <v>258</v>
      </c>
      <c r="N119" s="7" t="s">
        <v>788</v>
      </c>
    </row>
    <row r="120" spans="1:14" ht="30" customHeight="1" x14ac:dyDescent="0.25">
      <c r="A120" s="6" t="s">
        <v>1018</v>
      </c>
      <c r="B120" s="6" t="s">
        <v>259</v>
      </c>
      <c r="C120" s="7" t="s">
        <v>260</v>
      </c>
      <c r="D120" s="7" t="s">
        <v>636</v>
      </c>
      <c r="E120" s="7" t="s">
        <v>637</v>
      </c>
      <c r="F120" s="7" t="s">
        <v>638</v>
      </c>
      <c r="G120" s="7" t="s">
        <v>14</v>
      </c>
      <c r="H120" s="7" t="s">
        <v>49</v>
      </c>
      <c r="I120" s="7" t="s">
        <v>48</v>
      </c>
      <c r="J120" s="7" t="s">
        <v>889</v>
      </c>
      <c r="K120" s="7" t="s">
        <v>1019</v>
      </c>
      <c r="L120" s="7" t="s">
        <v>791</v>
      </c>
      <c r="M120" s="7" t="s">
        <v>263</v>
      </c>
      <c r="N120" s="7" t="s">
        <v>788</v>
      </c>
    </row>
    <row r="121" spans="1:14" ht="30" customHeight="1" x14ac:dyDescent="0.25">
      <c r="A121" s="6" t="s">
        <v>1020</v>
      </c>
      <c r="B121" s="6" t="s">
        <v>259</v>
      </c>
      <c r="C121" s="7" t="s">
        <v>260</v>
      </c>
      <c r="D121" s="7" t="s">
        <v>629</v>
      </c>
      <c r="E121" s="7" t="s">
        <v>630</v>
      </c>
      <c r="F121" s="7" t="s">
        <v>631</v>
      </c>
      <c r="G121" s="7" t="s">
        <v>14</v>
      </c>
      <c r="H121" s="7" t="s">
        <v>49</v>
      </c>
      <c r="I121" s="7" t="s">
        <v>48</v>
      </c>
      <c r="J121" s="7" t="s">
        <v>889</v>
      </c>
      <c r="K121" s="7" t="s">
        <v>1021</v>
      </c>
      <c r="L121" s="7" t="s">
        <v>791</v>
      </c>
      <c r="M121" s="7" t="s">
        <v>263</v>
      </c>
      <c r="N121" s="7" t="s">
        <v>788</v>
      </c>
    </row>
    <row r="122" spans="1:14" ht="30" customHeight="1" x14ac:dyDescent="0.25">
      <c r="A122" s="6" t="s">
        <v>1022</v>
      </c>
      <c r="B122" s="6" t="s">
        <v>259</v>
      </c>
      <c r="C122" s="7" t="s">
        <v>260</v>
      </c>
      <c r="D122" s="7" t="s">
        <v>600</v>
      </c>
      <c r="E122" s="7" t="s">
        <v>601</v>
      </c>
      <c r="F122" s="7" t="s">
        <v>602</v>
      </c>
      <c r="G122" s="7" t="s">
        <v>14</v>
      </c>
      <c r="H122" s="7" t="s">
        <v>49</v>
      </c>
      <c r="I122" s="7" t="s">
        <v>48</v>
      </c>
      <c r="J122" s="7" t="s">
        <v>889</v>
      </c>
      <c r="K122" s="7" t="s">
        <v>1023</v>
      </c>
      <c r="L122" s="7" t="s">
        <v>791</v>
      </c>
      <c r="M122" s="7" t="s">
        <v>263</v>
      </c>
      <c r="N122" s="7" t="s">
        <v>788</v>
      </c>
    </row>
    <row r="123" spans="1:14" ht="30" customHeight="1" x14ac:dyDescent="0.25">
      <c r="A123" s="6" t="s">
        <v>1024</v>
      </c>
      <c r="B123" s="6" t="s">
        <v>264</v>
      </c>
      <c r="C123" s="7" t="s">
        <v>265</v>
      </c>
      <c r="D123" s="7" t="s">
        <v>633</v>
      </c>
      <c r="E123" s="7" t="s">
        <v>634</v>
      </c>
      <c r="F123" s="7" t="s">
        <v>631</v>
      </c>
      <c r="G123" s="7" t="s">
        <v>14</v>
      </c>
      <c r="H123" s="7" t="s">
        <v>49</v>
      </c>
      <c r="I123" s="7" t="s">
        <v>48</v>
      </c>
      <c r="J123" s="7" t="s">
        <v>802</v>
      </c>
      <c r="K123" s="7" t="s">
        <v>1025</v>
      </c>
      <c r="L123" s="7" t="s">
        <v>791</v>
      </c>
      <c r="M123" s="7" t="s">
        <v>268</v>
      </c>
      <c r="N123" s="7" t="s">
        <v>788</v>
      </c>
    </row>
    <row r="124" spans="1:14" ht="30" customHeight="1" x14ac:dyDescent="0.25">
      <c r="A124" s="6" t="s">
        <v>1026</v>
      </c>
      <c r="B124" s="6" t="s">
        <v>264</v>
      </c>
      <c r="C124" s="7" t="s">
        <v>265</v>
      </c>
      <c r="D124" s="7" t="s">
        <v>609</v>
      </c>
      <c r="E124" s="7" t="s">
        <v>610</v>
      </c>
      <c r="F124" s="7" t="s">
        <v>611</v>
      </c>
      <c r="G124" s="7" t="s">
        <v>13</v>
      </c>
      <c r="H124" s="7" t="s">
        <v>58</v>
      </c>
      <c r="I124" s="7" t="s">
        <v>48</v>
      </c>
      <c r="J124" s="7" t="s">
        <v>802</v>
      </c>
      <c r="K124" s="7" t="s">
        <v>821</v>
      </c>
      <c r="L124" s="7" t="s">
        <v>796</v>
      </c>
      <c r="M124" s="7" t="s">
        <v>1027</v>
      </c>
      <c r="N124" s="7" t="s">
        <v>788</v>
      </c>
    </row>
    <row r="125" spans="1:14" ht="30" customHeight="1" x14ac:dyDescent="0.25">
      <c r="A125" s="6" t="s">
        <v>1028</v>
      </c>
      <c r="B125" s="6" t="s">
        <v>264</v>
      </c>
      <c r="C125" s="7" t="s">
        <v>265</v>
      </c>
      <c r="D125" s="7" t="s">
        <v>629</v>
      </c>
      <c r="E125" s="7" t="s">
        <v>630</v>
      </c>
      <c r="F125" s="7" t="s">
        <v>631</v>
      </c>
      <c r="G125" s="7" t="s">
        <v>13</v>
      </c>
      <c r="H125" s="7" t="s">
        <v>58</v>
      </c>
      <c r="I125" s="7" t="s">
        <v>48</v>
      </c>
      <c r="J125" s="7" t="s">
        <v>802</v>
      </c>
      <c r="K125" s="7" t="s">
        <v>821</v>
      </c>
      <c r="L125" s="7" t="s">
        <v>796</v>
      </c>
      <c r="M125" s="7" t="s">
        <v>1027</v>
      </c>
      <c r="N125" s="7" t="s">
        <v>788</v>
      </c>
    </row>
    <row r="126" spans="1:14" ht="30" customHeight="1" x14ac:dyDescent="0.25">
      <c r="A126" s="6" t="s">
        <v>1029</v>
      </c>
      <c r="B126" s="6" t="s">
        <v>269</v>
      </c>
      <c r="C126" s="7" t="s">
        <v>270</v>
      </c>
      <c r="D126" s="7" t="s">
        <v>636</v>
      </c>
      <c r="E126" s="7" t="s">
        <v>637</v>
      </c>
      <c r="F126" s="7" t="s">
        <v>638</v>
      </c>
      <c r="G126" s="7" t="s">
        <v>14</v>
      </c>
      <c r="H126" s="7" t="s">
        <v>49</v>
      </c>
      <c r="I126" s="7" t="s">
        <v>48</v>
      </c>
      <c r="J126" s="7" t="s">
        <v>802</v>
      </c>
      <c r="K126" s="7" t="s">
        <v>1030</v>
      </c>
      <c r="L126" s="7" t="s">
        <v>796</v>
      </c>
      <c r="M126" s="7" t="s">
        <v>1031</v>
      </c>
      <c r="N126" s="7" t="s">
        <v>788</v>
      </c>
    </row>
    <row r="127" spans="1:14" ht="30" customHeight="1" x14ac:dyDescent="0.25">
      <c r="A127" s="6" t="s">
        <v>1032</v>
      </c>
      <c r="B127" s="6" t="s">
        <v>269</v>
      </c>
      <c r="C127" s="7" t="s">
        <v>270</v>
      </c>
      <c r="D127" s="7" t="s">
        <v>624</v>
      </c>
      <c r="E127" s="7" t="s">
        <v>622</v>
      </c>
      <c r="F127" s="7" t="s">
        <v>622</v>
      </c>
      <c r="G127" s="7" t="s">
        <v>13</v>
      </c>
      <c r="H127" s="7" t="s">
        <v>109</v>
      </c>
      <c r="I127" s="7" t="s">
        <v>66</v>
      </c>
      <c r="J127" s="7" t="s">
        <v>802</v>
      </c>
      <c r="K127" s="7" t="s">
        <v>821</v>
      </c>
      <c r="L127" s="7" t="s">
        <v>796</v>
      </c>
      <c r="M127" s="7" t="s">
        <v>1031</v>
      </c>
      <c r="N127" s="7" t="s">
        <v>788</v>
      </c>
    </row>
    <row r="128" spans="1:14" ht="30" customHeight="1" x14ac:dyDescent="0.25">
      <c r="A128" s="6" t="s">
        <v>1033</v>
      </c>
      <c r="B128" s="6" t="s">
        <v>269</v>
      </c>
      <c r="C128" s="7" t="s">
        <v>270</v>
      </c>
      <c r="D128" s="7" t="s">
        <v>600</v>
      </c>
      <c r="E128" s="7" t="s">
        <v>601</v>
      </c>
      <c r="F128" s="7" t="s">
        <v>602</v>
      </c>
      <c r="G128" s="7" t="s">
        <v>14</v>
      </c>
      <c r="H128" s="7" t="s">
        <v>49</v>
      </c>
      <c r="I128" s="7" t="s">
        <v>48</v>
      </c>
      <c r="J128" s="7" t="s">
        <v>802</v>
      </c>
      <c r="K128" s="7" t="s">
        <v>1034</v>
      </c>
      <c r="L128" s="7" t="s">
        <v>796</v>
      </c>
      <c r="M128" s="7" t="s">
        <v>1031</v>
      </c>
      <c r="N128" s="7" t="s">
        <v>788</v>
      </c>
    </row>
    <row r="129" spans="1:14" ht="30" customHeight="1" x14ac:dyDescent="0.25">
      <c r="A129" s="6" t="s">
        <v>1035</v>
      </c>
      <c r="B129" s="6" t="s">
        <v>275</v>
      </c>
      <c r="C129" s="7" t="s">
        <v>276</v>
      </c>
      <c r="D129" s="7" t="s">
        <v>636</v>
      </c>
      <c r="E129" s="7" t="s">
        <v>637</v>
      </c>
      <c r="F129" s="7" t="s">
        <v>638</v>
      </c>
      <c r="G129" s="7" t="s">
        <v>14</v>
      </c>
      <c r="H129" s="7" t="s">
        <v>49</v>
      </c>
      <c r="I129" s="7" t="s">
        <v>48</v>
      </c>
      <c r="J129" s="7" t="s">
        <v>802</v>
      </c>
      <c r="K129" s="7" t="s">
        <v>1036</v>
      </c>
      <c r="L129" s="7" t="s">
        <v>796</v>
      </c>
      <c r="M129" s="7" t="s">
        <v>1037</v>
      </c>
      <c r="N129" s="7" t="s">
        <v>788</v>
      </c>
    </row>
    <row r="130" spans="1:14" ht="30" customHeight="1" x14ac:dyDescent="0.25">
      <c r="A130" s="6" t="s">
        <v>1038</v>
      </c>
      <c r="B130" s="6" t="s">
        <v>275</v>
      </c>
      <c r="C130" s="7" t="s">
        <v>276</v>
      </c>
      <c r="D130" s="7" t="s">
        <v>624</v>
      </c>
      <c r="E130" s="7" t="s">
        <v>622</v>
      </c>
      <c r="F130" s="7" t="s">
        <v>622</v>
      </c>
      <c r="G130" s="7" t="s">
        <v>13</v>
      </c>
      <c r="H130" s="7" t="s">
        <v>109</v>
      </c>
      <c r="I130" s="7" t="s">
        <v>66</v>
      </c>
      <c r="J130" s="7" t="s">
        <v>802</v>
      </c>
      <c r="K130" s="7" t="s">
        <v>821</v>
      </c>
      <c r="L130" s="7" t="s">
        <v>796</v>
      </c>
      <c r="M130" s="7" t="s">
        <v>1037</v>
      </c>
      <c r="N130" s="7" t="s">
        <v>788</v>
      </c>
    </row>
    <row r="131" spans="1:14" ht="30" customHeight="1" x14ac:dyDescent="0.25">
      <c r="A131" s="6" t="s">
        <v>1039</v>
      </c>
      <c r="B131" s="6" t="s">
        <v>275</v>
      </c>
      <c r="C131" s="7" t="s">
        <v>276</v>
      </c>
      <c r="D131" s="7" t="s">
        <v>600</v>
      </c>
      <c r="E131" s="7" t="s">
        <v>601</v>
      </c>
      <c r="F131" s="7" t="s">
        <v>602</v>
      </c>
      <c r="G131" s="7" t="s">
        <v>14</v>
      </c>
      <c r="H131" s="7" t="s">
        <v>49</v>
      </c>
      <c r="I131" s="7" t="s">
        <v>48</v>
      </c>
      <c r="J131" s="7" t="s">
        <v>802</v>
      </c>
      <c r="K131" s="7" t="s">
        <v>1034</v>
      </c>
      <c r="L131" s="7" t="s">
        <v>796</v>
      </c>
      <c r="M131" s="7" t="s">
        <v>1037</v>
      </c>
      <c r="N131" s="7" t="s">
        <v>788</v>
      </c>
    </row>
    <row r="132" spans="1:14" ht="30" customHeight="1" x14ac:dyDescent="0.25">
      <c r="A132" s="6" t="s">
        <v>1040</v>
      </c>
      <c r="B132" s="6" t="s">
        <v>284</v>
      </c>
      <c r="C132" s="7" t="s">
        <v>285</v>
      </c>
      <c r="D132" s="7" t="s">
        <v>617</v>
      </c>
      <c r="E132" s="7" t="s">
        <v>618</v>
      </c>
      <c r="F132" s="7" t="s">
        <v>615</v>
      </c>
      <c r="G132" s="7" t="s">
        <v>14</v>
      </c>
      <c r="H132" s="7" t="s">
        <v>49</v>
      </c>
      <c r="I132" s="7" t="s">
        <v>66</v>
      </c>
      <c r="J132" s="7" t="s">
        <v>802</v>
      </c>
      <c r="K132" s="7" t="s">
        <v>1041</v>
      </c>
      <c r="L132" s="7" t="s">
        <v>786</v>
      </c>
      <c r="M132" s="7" t="s">
        <v>288</v>
      </c>
      <c r="N132" s="7" t="s">
        <v>788</v>
      </c>
    </row>
    <row r="133" spans="1:14" ht="30" customHeight="1" x14ac:dyDescent="0.25">
      <c r="A133" s="6" t="s">
        <v>1042</v>
      </c>
      <c r="B133" s="6" t="s">
        <v>284</v>
      </c>
      <c r="C133" s="7" t="s">
        <v>285</v>
      </c>
      <c r="D133" s="7" t="s">
        <v>636</v>
      </c>
      <c r="E133" s="7" t="s">
        <v>637</v>
      </c>
      <c r="F133" s="7" t="s">
        <v>638</v>
      </c>
      <c r="G133" s="7" t="s">
        <v>14</v>
      </c>
      <c r="H133" s="7" t="s">
        <v>49</v>
      </c>
      <c r="I133" s="7" t="s">
        <v>66</v>
      </c>
      <c r="J133" s="7" t="s">
        <v>802</v>
      </c>
      <c r="K133" s="7" t="s">
        <v>1043</v>
      </c>
      <c r="L133" s="7" t="s">
        <v>796</v>
      </c>
      <c r="M133" s="7" t="s">
        <v>288</v>
      </c>
      <c r="N133" s="7" t="s">
        <v>788</v>
      </c>
    </row>
    <row r="134" spans="1:14" ht="30" customHeight="1" x14ac:dyDescent="0.25">
      <c r="A134" s="6" t="s">
        <v>1044</v>
      </c>
      <c r="B134" s="6" t="s">
        <v>289</v>
      </c>
      <c r="C134" s="7" t="s">
        <v>290</v>
      </c>
      <c r="D134" s="7" t="s">
        <v>617</v>
      </c>
      <c r="E134" s="7" t="s">
        <v>618</v>
      </c>
      <c r="F134" s="7" t="s">
        <v>615</v>
      </c>
      <c r="G134" s="7" t="s">
        <v>14</v>
      </c>
      <c r="H134" s="7" t="s">
        <v>67</v>
      </c>
      <c r="I134" s="7" t="s">
        <v>66</v>
      </c>
      <c r="J134" s="7" t="s">
        <v>802</v>
      </c>
      <c r="K134" s="7" t="s">
        <v>1045</v>
      </c>
      <c r="L134" s="7" t="s">
        <v>786</v>
      </c>
      <c r="M134" s="7" t="s">
        <v>283</v>
      </c>
      <c r="N134" s="7" t="s">
        <v>788</v>
      </c>
    </row>
    <row r="135" spans="1:14" ht="30" customHeight="1" x14ac:dyDescent="0.25">
      <c r="A135" s="6" t="s">
        <v>1046</v>
      </c>
      <c r="B135" s="6" t="s">
        <v>289</v>
      </c>
      <c r="C135" s="7" t="s">
        <v>290</v>
      </c>
      <c r="D135" s="7" t="s">
        <v>600</v>
      </c>
      <c r="E135" s="7" t="s">
        <v>601</v>
      </c>
      <c r="F135" s="7" t="s">
        <v>602</v>
      </c>
      <c r="G135" s="7" t="s">
        <v>14</v>
      </c>
      <c r="H135" s="7" t="s">
        <v>67</v>
      </c>
      <c r="I135" s="7" t="s">
        <v>66</v>
      </c>
      <c r="J135" s="7" t="s">
        <v>802</v>
      </c>
      <c r="K135" s="7" t="s">
        <v>1047</v>
      </c>
      <c r="L135" s="7" t="s">
        <v>786</v>
      </c>
      <c r="M135" s="7" t="s">
        <v>283</v>
      </c>
      <c r="N135" s="7" t="s">
        <v>788</v>
      </c>
    </row>
    <row r="136" spans="1:14" ht="30" customHeight="1" x14ac:dyDescent="0.25">
      <c r="A136" s="6" t="s">
        <v>1048</v>
      </c>
      <c r="B136" s="6" t="s">
        <v>292</v>
      </c>
      <c r="C136" s="7" t="s">
        <v>293</v>
      </c>
      <c r="D136" s="7" t="s">
        <v>600</v>
      </c>
      <c r="E136" s="7" t="s">
        <v>601</v>
      </c>
      <c r="F136" s="7" t="s">
        <v>602</v>
      </c>
      <c r="G136" s="7" t="s">
        <v>14</v>
      </c>
      <c r="H136" s="7" t="s">
        <v>49</v>
      </c>
      <c r="I136" s="7" t="s">
        <v>66</v>
      </c>
      <c r="J136" s="7" t="s">
        <v>802</v>
      </c>
      <c r="K136" s="7" t="s">
        <v>1049</v>
      </c>
      <c r="L136" s="7" t="s">
        <v>791</v>
      </c>
      <c r="M136" s="7" t="s">
        <v>296</v>
      </c>
      <c r="N136" s="7" t="s">
        <v>788</v>
      </c>
    </row>
    <row r="137" spans="1:14" ht="30" customHeight="1" x14ac:dyDescent="0.25">
      <c r="A137" s="6" t="s">
        <v>1050</v>
      </c>
      <c r="B137" s="6" t="s">
        <v>292</v>
      </c>
      <c r="C137" s="7" t="s">
        <v>293</v>
      </c>
      <c r="D137" s="7" t="s">
        <v>665</v>
      </c>
      <c r="E137" s="7" t="s">
        <v>666</v>
      </c>
      <c r="F137" s="7" t="s">
        <v>667</v>
      </c>
      <c r="G137" s="7" t="s">
        <v>14</v>
      </c>
      <c r="H137" s="7" t="s">
        <v>49</v>
      </c>
      <c r="I137" s="7" t="s">
        <v>66</v>
      </c>
      <c r="J137" s="7" t="s">
        <v>802</v>
      </c>
      <c r="K137" s="7" t="s">
        <v>1051</v>
      </c>
      <c r="L137" s="7" t="s">
        <v>786</v>
      </c>
      <c r="M137" s="7" t="s">
        <v>296</v>
      </c>
      <c r="N137" s="7" t="s">
        <v>788</v>
      </c>
    </row>
    <row r="138" spans="1:14" ht="30" customHeight="1" x14ac:dyDescent="0.25">
      <c r="A138" s="6" t="s">
        <v>1052</v>
      </c>
      <c r="B138" s="6" t="s">
        <v>297</v>
      </c>
      <c r="C138" s="7" t="s">
        <v>298</v>
      </c>
      <c r="D138" s="7" t="s">
        <v>600</v>
      </c>
      <c r="E138" s="7" t="s">
        <v>601</v>
      </c>
      <c r="F138" s="7" t="s">
        <v>602</v>
      </c>
      <c r="G138" s="7" t="s">
        <v>14</v>
      </c>
      <c r="H138" s="7" t="s">
        <v>67</v>
      </c>
      <c r="I138" s="7" t="s">
        <v>66</v>
      </c>
      <c r="J138" s="7" t="s">
        <v>802</v>
      </c>
      <c r="K138" s="7" t="s">
        <v>1053</v>
      </c>
      <c r="L138" s="7" t="s">
        <v>786</v>
      </c>
      <c r="M138" s="7" t="s">
        <v>251</v>
      </c>
      <c r="N138" s="7" t="s">
        <v>788</v>
      </c>
    </row>
    <row r="139" spans="1:14" ht="30" customHeight="1" x14ac:dyDescent="0.25">
      <c r="A139" s="6" t="s">
        <v>1054</v>
      </c>
      <c r="B139" s="6" t="s">
        <v>297</v>
      </c>
      <c r="C139" s="7" t="s">
        <v>298</v>
      </c>
      <c r="D139" s="7" t="s">
        <v>665</v>
      </c>
      <c r="E139" s="7" t="s">
        <v>666</v>
      </c>
      <c r="F139" s="7" t="s">
        <v>667</v>
      </c>
      <c r="G139" s="7" t="s">
        <v>14</v>
      </c>
      <c r="H139" s="7" t="s">
        <v>67</v>
      </c>
      <c r="I139" s="7" t="s">
        <v>66</v>
      </c>
      <c r="J139" s="7" t="s">
        <v>802</v>
      </c>
      <c r="K139" s="7" t="s">
        <v>1055</v>
      </c>
      <c r="L139" s="7" t="s">
        <v>786</v>
      </c>
      <c r="M139" s="7" t="s">
        <v>251</v>
      </c>
      <c r="N139" s="7" t="s">
        <v>788</v>
      </c>
    </row>
    <row r="140" spans="1:14" ht="30" customHeight="1" x14ac:dyDescent="0.25">
      <c r="A140" s="6" t="s">
        <v>1056</v>
      </c>
      <c r="B140" s="6" t="s">
        <v>300</v>
      </c>
      <c r="C140" s="7" t="s">
        <v>301</v>
      </c>
      <c r="D140" s="7" t="s">
        <v>600</v>
      </c>
      <c r="E140" s="7" t="s">
        <v>601</v>
      </c>
      <c r="F140" s="7" t="s">
        <v>602</v>
      </c>
      <c r="G140" s="7" t="s">
        <v>14</v>
      </c>
      <c r="H140" s="7" t="s">
        <v>49</v>
      </c>
      <c r="I140" s="7" t="s">
        <v>66</v>
      </c>
      <c r="J140" s="7" t="s">
        <v>802</v>
      </c>
      <c r="K140" s="7" t="s">
        <v>1057</v>
      </c>
      <c r="L140" s="7" t="s">
        <v>786</v>
      </c>
      <c r="M140" s="7" t="s">
        <v>303</v>
      </c>
      <c r="N140" s="7" t="s">
        <v>788</v>
      </c>
    </row>
    <row r="141" spans="1:14" ht="30" customHeight="1" x14ac:dyDescent="0.25">
      <c r="A141" s="6" t="s">
        <v>1058</v>
      </c>
      <c r="B141" s="6" t="s">
        <v>300</v>
      </c>
      <c r="C141" s="7" t="s">
        <v>301</v>
      </c>
      <c r="D141" s="7" t="s">
        <v>609</v>
      </c>
      <c r="E141" s="7" t="s">
        <v>610</v>
      </c>
      <c r="F141" s="7" t="s">
        <v>611</v>
      </c>
      <c r="G141" s="7" t="s">
        <v>14</v>
      </c>
      <c r="H141" s="7" t="s">
        <v>49</v>
      </c>
      <c r="I141" s="7" t="s">
        <v>66</v>
      </c>
      <c r="J141" s="7" t="s">
        <v>802</v>
      </c>
      <c r="K141" s="7" t="s">
        <v>1009</v>
      </c>
      <c r="L141" s="7" t="s">
        <v>786</v>
      </c>
      <c r="M141" s="7" t="s">
        <v>303</v>
      </c>
      <c r="N141" s="7" t="s">
        <v>788</v>
      </c>
    </row>
    <row r="142" spans="1:14" ht="30" customHeight="1" x14ac:dyDescent="0.25">
      <c r="A142" s="6" t="s">
        <v>1059</v>
      </c>
      <c r="B142" s="6" t="s">
        <v>300</v>
      </c>
      <c r="C142" s="7" t="s">
        <v>301</v>
      </c>
      <c r="D142" s="7" t="s">
        <v>629</v>
      </c>
      <c r="E142" s="7" t="s">
        <v>630</v>
      </c>
      <c r="F142" s="7" t="s">
        <v>631</v>
      </c>
      <c r="G142" s="7" t="s">
        <v>14</v>
      </c>
      <c r="H142" s="7" t="s">
        <v>49</v>
      </c>
      <c r="I142" s="7" t="s">
        <v>66</v>
      </c>
      <c r="J142" s="7" t="s">
        <v>802</v>
      </c>
      <c r="K142" s="7" t="s">
        <v>1060</v>
      </c>
      <c r="L142" s="7" t="s">
        <v>786</v>
      </c>
      <c r="M142" s="7" t="s">
        <v>303</v>
      </c>
      <c r="N142" s="7" t="s">
        <v>788</v>
      </c>
    </row>
    <row r="143" spans="1:14" ht="30" customHeight="1" x14ac:dyDescent="0.25">
      <c r="A143" s="6" t="s">
        <v>1061</v>
      </c>
      <c r="B143" s="6" t="s">
        <v>304</v>
      </c>
      <c r="C143" s="7" t="s">
        <v>305</v>
      </c>
      <c r="D143" s="7" t="s">
        <v>600</v>
      </c>
      <c r="E143" s="7" t="s">
        <v>601</v>
      </c>
      <c r="F143" s="7" t="s">
        <v>602</v>
      </c>
      <c r="G143" s="7" t="s">
        <v>14</v>
      </c>
      <c r="H143" s="7" t="s">
        <v>49</v>
      </c>
      <c r="I143" s="7" t="s">
        <v>66</v>
      </c>
      <c r="J143" s="7" t="s">
        <v>802</v>
      </c>
      <c r="K143" s="7" t="s">
        <v>1062</v>
      </c>
      <c r="L143" s="7" t="s">
        <v>786</v>
      </c>
      <c r="M143" s="7" t="s">
        <v>308</v>
      </c>
      <c r="N143" s="7" t="s">
        <v>788</v>
      </c>
    </row>
    <row r="144" spans="1:14" ht="30" customHeight="1" x14ac:dyDescent="0.25">
      <c r="A144" s="6" t="s">
        <v>1063</v>
      </c>
      <c r="B144" s="6" t="s">
        <v>304</v>
      </c>
      <c r="C144" s="7" t="s">
        <v>305</v>
      </c>
      <c r="D144" s="7" t="s">
        <v>617</v>
      </c>
      <c r="E144" s="7" t="s">
        <v>618</v>
      </c>
      <c r="F144" s="7" t="s">
        <v>615</v>
      </c>
      <c r="G144" s="7" t="s">
        <v>14</v>
      </c>
      <c r="H144" s="7" t="s">
        <v>49</v>
      </c>
      <c r="I144" s="7" t="s">
        <v>66</v>
      </c>
      <c r="J144" s="7" t="s">
        <v>802</v>
      </c>
      <c r="K144" s="7" t="s">
        <v>1064</v>
      </c>
      <c r="L144" s="7" t="s">
        <v>786</v>
      </c>
      <c r="M144" s="7" t="s">
        <v>308</v>
      </c>
      <c r="N144" s="7" t="s">
        <v>788</v>
      </c>
    </row>
    <row r="145" spans="1:14" ht="30" customHeight="1" x14ac:dyDescent="0.25">
      <c r="A145" s="6" t="s">
        <v>1065</v>
      </c>
      <c r="B145" s="6" t="s">
        <v>309</v>
      </c>
      <c r="C145" s="7" t="s">
        <v>310</v>
      </c>
      <c r="D145" s="7" t="s">
        <v>617</v>
      </c>
      <c r="E145" s="7" t="s">
        <v>618</v>
      </c>
      <c r="F145" s="7" t="s">
        <v>615</v>
      </c>
      <c r="G145" s="7" t="s">
        <v>14</v>
      </c>
      <c r="H145" s="7" t="s">
        <v>49</v>
      </c>
      <c r="I145" s="7" t="s">
        <v>48</v>
      </c>
      <c r="J145" s="7" t="s">
        <v>807</v>
      </c>
      <c r="K145" s="7" t="s">
        <v>1066</v>
      </c>
      <c r="L145" s="7" t="s">
        <v>791</v>
      </c>
      <c r="M145" s="7" t="s">
        <v>1067</v>
      </c>
      <c r="N145" s="7" t="s">
        <v>788</v>
      </c>
    </row>
    <row r="146" spans="1:14" ht="30" customHeight="1" x14ac:dyDescent="0.25">
      <c r="A146" s="6" t="s">
        <v>1068</v>
      </c>
      <c r="B146" s="6" t="s">
        <v>313</v>
      </c>
      <c r="C146" s="7" t="s">
        <v>314</v>
      </c>
      <c r="D146" s="7" t="s">
        <v>617</v>
      </c>
      <c r="E146" s="7" t="s">
        <v>618</v>
      </c>
      <c r="F146" s="7" t="s">
        <v>615</v>
      </c>
      <c r="G146" s="7" t="s">
        <v>14</v>
      </c>
      <c r="H146" s="7" t="s">
        <v>49</v>
      </c>
      <c r="I146" s="7" t="s">
        <v>48</v>
      </c>
      <c r="J146" s="7" t="s">
        <v>807</v>
      </c>
      <c r="K146" s="7" t="s">
        <v>1069</v>
      </c>
      <c r="L146" s="7" t="s">
        <v>791</v>
      </c>
      <c r="M146" s="7" t="s">
        <v>68</v>
      </c>
      <c r="N146" s="7" t="s">
        <v>788</v>
      </c>
    </row>
    <row r="147" spans="1:14" ht="30" customHeight="1" x14ac:dyDescent="0.25">
      <c r="A147" s="6" t="s">
        <v>1070</v>
      </c>
      <c r="B147" s="6" t="s">
        <v>317</v>
      </c>
      <c r="C147" s="7" t="s">
        <v>318</v>
      </c>
      <c r="D147" s="7" t="s">
        <v>600</v>
      </c>
      <c r="E147" s="7" t="s">
        <v>601</v>
      </c>
      <c r="F147" s="7" t="s">
        <v>602</v>
      </c>
      <c r="G147" s="7" t="s">
        <v>14</v>
      </c>
      <c r="H147" s="7" t="s">
        <v>49</v>
      </c>
      <c r="I147" s="7" t="s">
        <v>66</v>
      </c>
      <c r="J147" s="7" t="s">
        <v>802</v>
      </c>
      <c r="K147" s="7" t="s">
        <v>1071</v>
      </c>
      <c r="L147" s="7" t="s">
        <v>786</v>
      </c>
      <c r="M147" s="7" t="s">
        <v>321</v>
      </c>
      <c r="N147" s="7" t="s">
        <v>788</v>
      </c>
    </row>
    <row r="148" spans="1:14" ht="30" customHeight="1" x14ac:dyDescent="0.25">
      <c r="A148" s="6" t="s">
        <v>1072</v>
      </c>
      <c r="B148" s="6" t="s">
        <v>317</v>
      </c>
      <c r="C148" s="7" t="s">
        <v>318</v>
      </c>
      <c r="D148" s="7" t="s">
        <v>665</v>
      </c>
      <c r="E148" s="7" t="s">
        <v>666</v>
      </c>
      <c r="F148" s="7" t="s">
        <v>667</v>
      </c>
      <c r="G148" s="7" t="s">
        <v>14</v>
      </c>
      <c r="H148" s="7" t="s">
        <v>49</v>
      </c>
      <c r="I148" s="7" t="s">
        <v>66</v>
      </c>
      <c r="J148" s="7" t="s">
        <v>802</v>
      </c>
      <c r="K148" s="7" t="s">
        <v>1073</v>
      </c>
      <c r="L148" s="7" t="s">
        <v>786</v>
      </c>
      <c r="M148" s="7" t="s">
        <v>321</v>
      </c>
      <c r="N148" s="7" t="s">
        <v>788</v>
      </c>
    </row>
    <row r="149" spans="1:14" ht="30" customHeight="1" x14ac:dyDescent="0.25">
      <c r="A149" s="6" t="s">
        <v>1074</v>
      </c>
      <c r="B149" s="6" t="s">
        <v>322</v>
      </c>
      <c r="C149" s="7" t="s">
        <v>323</v>
      </c>
      <c r="D149" s="7" t="s">
        <v>600</v>
      </c>
      <c r="E149" s="7" t="s">
        <v>601</v>
      </c>
      <c r="F149" s="7" t="s">
        <v>602</v>
      </c>
      <c r="G149" s="7" t="s">
        <v>14</v>
      </c>
      <c r="H149" s="7" t="s">
        <v>67</v>
      </c>
      <c r="I149" s="7" t="s">
        <v>66</v>
      </c>
      <c r="J149" s="7" t="s">
        <v>784</v>
      </c>
      <c r="K149" s="7" t="s">
        <v>1075</v>
      </c>
      <c r="L149" s="7" t="s">
        <v>786</v>
      </c>
      <c r="M149" s="7" t="s">
        <v>283</v>
      </c>
      <c r="N149" s="7" t="s">
        <v>788</v>
      </c>
    </row>
    <row r="150" spans="1:14" ht="30" customHeight="1" x14ac:dyDescent="0.25">
      <c r="A150" s="6" t="s">
        <v>1076</v>
      </c>
      <c r="B150" s="6" t="s">
        <v>322</v>
      </c>
      <c r="C150" s="7" t="s">
        <v>323</v>
      </c>
      <c r="D150" s="7" t="s">
        <v>640</v>
      </c>
      <c r="E150" s="7" t="s">
        <v>641</v>
      </c>
      <c r="F150" s="7" t="s">
        <v>642</v>
      </c>
      <c r="G150" s="7" t="s">
        <v>14</v>
      </c>
      <c r="H150" s="7" t="s">
        <v>67</v>
      </c>
      <c r="I150" s="7" t="s">
        <v>66</v>
      </c>
      <c r="J150" s="7" t="s">
        <v>784</v>
      </c>
      <c r="K150" s="7" t="s">
        <v>1077</v>
      </c>
      <c r="L150" s="7" t="s">
        <v>786</v>
      </c>
      <c r="M150" s="7" t="s">
        <v>283</v>
      </c>
      <c r="N150" s="7" t="s">
        <v>788</v>
      </c>
    </row>
    <row r="151" spans="1:14" ht="30" customHeight="1" x14ac:dyDescent="0.25">
      <c r="A151" s="6" t="s">
        <v>1078</v>
      </c>
      <c r="B151" s="6" t="s">
        <v>326</v>
      </c>
      <c r="C151" s="7" t="s">
        <v>327</v>
      </c>
      <c r="D151" s="7" t="s">
        <v>605</v>
      </c>
      <c r="E151" s="7" t="s">
        <v>606</v>
      </c>
      <c r="F151" s="7" t="s">
        <v>607</v>
      </c>
      <c r="G151" s="7" t="s">
        <v>14</v>
      </c>
      <c r="H151" s="7" t="s">
        <v>67</v>
      </c>
      <c r="I151" s="7" t="s">
        <v>66</v>
      </c>
      <c r="J151" s="7" t="s">
        <v>802</v>
      </c>
      <c r="K151" s="7" t="s">
        <v>1079</v>
      </c>
      <c r="L151" s="7" t="s">
        <v>786</v>
      </c>
      <c r="M151" s="7" t="s">
        <v>330</v>
      </c>
      <c r="N151" s="7" t="s">
        <v>788</v>
      </c>
    </row>
    <row r="152" spans="1:14" ht="30" customHeight="1" x14ac:dyDescent="0.25">
      <c r="A152" s="6" t="s">
        <v>1080</v>
      </c>
      <c r="B152" s="6" t="s">
        <v>326</v>
      </c>
      <c r="C152" s="7" t="s">
        <v>327</v>
      </c>
      <c r="D152" s="7" t="s">
        <v>659</v>
      </c>
      <c r="E152" s="7" t="s">
        <v>660</v>
      </c>
      <c r="F152" s="7" t="s">
        <v>607</v>
      </c>
      <c r="G152" s="7" t="s">
        <v>14</v>
      </c>
      <c r="H152" s="7" t="s">
        <v>67</v>
      </c>
      <c r="I152" s="7" t="s">
        <v>66</v>
      </c>
      <c r="J152" s="7" t="s">
        <v>802</v>
      </c>
      <c r="K152" s="7" t="s">
        <v>1081</v>
      </c>
      <c r="L152" s="7" t="s">
        <v>786</v>
      </c>
      <c r="M152" s="7" t="s">
        <v>330</v>
      </c>
      <c r="N152" s="7" t="s">
        <v>788</v>
      </c>
    </row>
    <row r="153" spans="1:14" ht="30" customHeight="1" x14ac:dyDescent="0.25">
      <c r="A153" s="6" t="s">
        <v>1082</v>
      </c>
      <c r="B153" s="6" t="s">
        <v>326</v>
      </c>
      <c r="C153" s="7" t="s">
        <v>327</v>
      </c>
      <c r="D153" s="7" t="s">
        <v>662</v>
      </c>
      <c r="E153" s="7" t="s">
        <v>663</v>
      </c>
      <c r="F153" s="7" t="s">
        <v>607</v>
      </c>
      <c r="G153" s="7" t="s">
        <v>14</v>
      </c>
      <c r="H153" s="7" t="s">
        <v>67</v>
      </c>
      <c r="I153" s="7" t="s">
        <v>66</v>
      </c>
      <c r="J153" s="7" t="s">
        <v>802</v>
      </c>
      <c r="K153" s="7" t="s">
        <v>1083</v>
      </c>
      <c r="L153" s="7" t="s">
        <v>786</v>
      </c>
      <c r="M153" s="7" t="s">
        <v>330</v>
      </c>
      <c r="N153" s="7" t="s">
        <v>788</v>
      </c>
    </row>
    <row r="154" spans="1:14" ht="30" customHeight="1" x14ac:dyDescent="0.25">
      <c r="A154" s="6" t="s">
        <v>1084</v>
      </c>
      <c r="B154" s="6" t="s">
        <v>331</v>
      </c>
      <c r="C154" s="7" t="s">
        <v>332</v>
      </c>
      <c r="D154" s="7" t="s">
        <v>636</v>
      </c>
      <c r="E154" s="7" t="s">
        <v>637</v>
      </c>
      <c r="F154" s="7" t="s">
        <v>638</v>
      </c>
      <c r="G154" s="7" t="s">
        <v>14</v>
      </c>
      <c r="H154" s="7" t="s">
        <v>67</v>
      </c>
      <c r="I154" s="7" t="s">
        <v>48</v>
      </c>
      <c r="J154" s="7" t="s">
        <v>807</v>
      </c>
      <c r="K154" s="7" t="s">
        <v>821</v>
      </c>
      <c r="L154" s="7" t="s">
        <v>786</v>
      </c>
      <c r="M154" s="7" t="s">
        <v>334</v>
      </c>
      <c r="N154" s="7" t="s">
        <v>788</v>
      </c>
    </row>
    <row r="155" spans="1:14" ht="30" customHeight="1" x14ac:dyDescent="0.25">
      <c r="A155" s="6" t="s">
        <v>1085</v>
      </c>
      <c r="B155" s="6" t="s">
        <v>331</v>
      </c>
      <c r="C155" s="7" t="s">
        <v>332</v>
      </c>
      <c r="D155" s="7" t="s">
        <v>629</v>
      </c>
      <c r="E155" s="7" t="s">
        <v>630</v>
      </c>
      <c r="F155" s="7" t="s">
        <v>631</v>
      </c>
      <c r="G155" s="7" t="s">
        <v>14</v>
      </c>
      <c r="H155" s="7" t="s">
        <v>67</v>
      </c>
      <c r="I155" s="7" t="s">
        <v>48</v>
      </c>
      <c r="J155" s="7" t="s">
        <v>807</v>
      </c>
      <c r="K155" s="7" t="s">
        <v>821</v>
      </c>
      <c r="L155" s="7" t="s">
        <v>786</v>
      </c>
      <c r="M155" s="7" t="s">
        <v>334</v>
      </c>
      <c r="N155" s="7" t="s">
        <v>788</v>
      </c>
    </row>
    <row r="156" spans="1:14" ht="30" customHeight="1" x14ac:dyDescent="0.25">
      <c r="A156" s="6" t="s">
        <v>1086</v>
      </c>
      <c r="B156" s="6" t="s">
        <v>331</v>
      </c>
      <c r="C156" s="7" t="s">
        <v>332</v>
      </c>
      <c r="D156" s="7" t="s">
        <v>600</v>
      </c>
      <c r="E156" s="7" t="s">
        <v>601</v>
      </c>
      <c r="F156" s="7" t="s">
        <v>602</v>
      </c>
      <c r="G156" s="7" t="s">
        <v>13</v>
      </c>
      <c r="H156" s="7" t="s">
        <v>58</v>
      </c>
      <c r="I156" s="7" t="s">
        <v>48</v>
      </c>
      <c r="J156" s="7" t="s">
        <v>807</v>
      </c>
      <c r="K156" s="7" t="s">
        <v>821</v>
      </c>
      <c r="L156" s="7" t="s">
        <v>786</v>
      </c>
      <c r="M156" s="7" t="s">
        <v>334</v>
      </c>
      <c r="N156" s="7" t="s">
        <v>788</v>
      </c>
    </row>
    <row r="157" spans="1:14" ht="30" customHeight="1" x14ac:dyDescent="0.25">
      <c r="A157" s="6" t="s">
        <v>1087</v>
      </c>
      <c r="B157" s="6" t="s">
        <v>335</v>
      </c>
      <c r="C157" s="7" t="s">
        <v>336</v>
      </c>
      <c r="D157" s="7" t="s">
        <v>600</v>
      </c>
      <c r="E157" s="7" t="s">
        <v>601</v>
      </c>
      <c r="F157" s="7" t="s">
        <v>602</v>
      </c>
      <c r="G157" s="7" t="s">
        <v>14</v>
      </c>
      <c r="H157" s="7" t="s">
        <v>49</v>
      </c>
      <c r="I157" s="7" t="s">
        <v>66</v>
      </c>
      <c r="J157" s="7" t="s">
        <v>802</v>
      </c>
      <c r="K157" s="7" t="s">
        <v>1088</v>
      </c>
      <c r="L157" s="7" t="s">
        <v>786</v>
      </c>
      <c r="M157" s="7" t="s">
        <v>339</v>
      </c>
      <c r="N157" s="7" t="s">
        <v>788</v>
      </c>
    </row>
    <row r="158" spans="1:14" ht="30" customHeight="1" x14ac:dyDescent="0.25">
      <c r="A158" s="6" t="s">
        <v>1089</v>
      </c>
      <c r="B158" s="6" t="s">
        <v>335</v>
      </c>
      <c r="C158" s="7" t="s">
        <v>336</v>
      </c>
      <c r="D158" s="7" t="s">
        <v>609</v>
      </c>
      <c r="E158" s="7" t="s">
        <v>610</v>
      </c>
      <c r="F158" s="7" t="s">
        <v>611</v>
      </c>
      <c r="G158" s="7" t="s">
        <v>14</v>
      </c>
      <c r="H158" s="7" t="s">
        <v>49</v>
      </c>
      <c r="I158" s="7" t="s">
        <v>66</v>
      </c>
      <c r="J158" s="7" t="s">
        <v>802</v>
      </c>
      <c r="K158" s="7" t="s">
        <v>1090</v>
      </c>
      <c r="L158" s="7" t="s">
        <v>786</v>
      </c>
      <c r="M158" s="7" t="s">
        <v>339</v>
      </c>
      <c r="N158" s="7" t="s">
        <v>788</v>
      </c>
    </row>
    <row r="159" spans="1:14" ht="30" customHeight="1" x14ac:dyDescent="0.25">
      <c r="A159" s="6" t="s">
        <v>1091</v>
      </c>
      <c r="B159" s="6" t="s">
        <v>335</v>
      </c>
      <c r="C159" s="7" t="s">
        <v>336</v>
      </c>
      <c r="D159" s="7" t="s">
        <v>617</v>
      </c>
      <c r="E159" s="7" t="s">
        <v>618</v>
      </c>
      <c r="F159" s="7" t="s">
        <v>615</v>
      </c>
      <c r="G159" s="7" t="s">
        <v>14</v>
      </c>
      <c r="H159" s="7" t="s">
        <v>49</v>
      </c>
      <c r="I159" s="7" t="s">
        <v>66</v>
      </c>
      <c r="J159" s="7" t="s">
        <v>802</v>
      </c>
      <c r="K159" s="7" t="s">
        <v>1092</v>
      </c>
      <c r="L159" s="7" t="s">
        <v>786</v>
      </c>
      <c r="M159" s="7" t="s">
        <v>339</v>
      </c>
      <c r="N159" s="7" t="s">
        <v>788</v>
      </c>
    </row>
    <row r="160" spans="1:14" ht="30" customHeight="1" x14ac:dyDescent="0.25">
      <c r="A160" s="6" t="s">
        <v>1093</v>
      </c>
      <c r="B160" s="6" t="s">
        <v>340</v>
      </c>
      <c r="C160" s="7" t="s">
        <v>341</v>
      </c>
      <c r="D160" s="7" t="s">
        <v>633</v>
      </c>
      <c r="E160" s="7" t="s">
        <v>634</v>
      </c>
      <c r="F160" s="7" t="s">
        <v>631</v>
      </c>
      <c r="G160" s="7" t="s">
        <v>14</v>
      </c>
      <c r="H160" s="7" t="s">
        <v>49</v>
      </c>
      <c r="I160" s="7" t="s">
        <v>66</v>
      </c>
      <c r="J160" s="7" t="s">
        <v>802</v>
      </c>
      <c r="K160" s="7" t="s">
        <v>1094</v>
      </c>
      <c r="L160" s="7" t="s">
        <v>791</v>
      </c>
      <c r="M160" s="7" t="s">
        <v>344</v>
      </c>
      <c r="N160" s="7" t="s">
        <v>788</v>
      </c>
    </row>
    <row r="161" spans="1:14" ht="30" customHeight="1" x14ac:dyDescent="0.25">
      <c r="A161" s="6" t="s">
        <v>1095</v>
      </c>
      <c r="B161" s="6" t="s">
        <v>340</v>
      </c>
      <c r="C161" s="7" t="s">
        <v>341</v>
      </c>
      <c r="D161" s="7" t="s">
        <v>600</v>
      </c>
      <c r="E161" s="7" t="s">
        <v>601</v>
      </c>
      <c r="F161" s="7" t="s">
        <v>602</v>
      </c>
      <c r="G161" s="7" t="s">
        <v>13</v>
      </c>
      <c r="H161" s="7" t="s">
        <v>58</v>
      </c>
      <c r="I161" s="7" t="s">
        <v>66</v>
      </c>
      <c r="J161" s="7" t="s">
        <v>802</v>
      </c>
      <c r="K161" s="7" t="s">
        <v>821</v>
      </c>
      <c r="L161" s="7" t="s">
        <v>796</v>
      </c>
      <c r="M161" s="7" t="s">
        <v>1096</v>
      </c>
      <c r="N161" s="7" t="s">
        <v>788</v>
      </c>
    </row>
    <row r="162" spans="1:14" ht="30" customHeight="1" x14ac:dyDescent="0.25">
      <c r="A162" s="6" t="s">
        <v>1097</v>
      </c>
      <c r="B162" s="6" t="s">
        <v>340</v>
      </c>
      <c r="C162" s="7" t="s">
        <v>341</v>
      </c>
      <c r="D162" s="7" t="s">
        <v>609</v>
      </c>
      <c r="E162" s="7" t="s">
        <v>610</v>
      </c>
      <c r="F162" s="7" t="s">
        <v>611</v>
      </c>
      <c r="G162" s="7" t="s">
        <v>14</v>
      </c>
      <c r="H162" s="7" t="s">
        <v>49</v>
      </c>
      <c r="I162" s="7" t="s">
        <v>66</v>
      </c>
      <c r="J162" s="7" t="s">
        <v>802</v>
      </c>
      <c r="K162" s="7" t="s">
        <v>1098</v>
      </c>
      <c r="L162" s="7" t="s">
        <v>786</v>
      </c>
      <c r="M162" s="7" t="s">
        <v>344</v>
      </c>
      <c r="N162" s="7" t="s">
        <v>788</v>
      </c>
    </row>
    <row r="163" spans="1:14" ht="30" customHeight="1" x14ac:dyDescent="0.25">
      <c r="A163" s="6" t="s">
        <v>1099</v>
      </c>
      <c r="B163" s="6" t="s">
        <v>345</v>
      </c>
      <c r="C163" s="7" t="s">
        <v>346</v>
      </c>
      <c r="D163" s="7" t="s">
        <v>613</v>
      </c>
      <c r="E163" s="7" t="s">
        <v>614</v>
      </c>
      <c r="F163" s="7" t="s">
        <v>615</v>
      </c>
      <c r="G163" s="7" t="s">
        <v>14</v>
      </c>
      <c r="H163" s="7" t="s">
        <v>67</v>
      </c>
      <c r="I163" s="7" t="s">
        <v>66</v>
      </c>
      <c r="J163" s="7" t="s">
        <v>802</v>
      </c>
      <c r="K163" s="7" t="s">
        <v>1100</v>
      </c>
      <c r="L163" s="7" t="s">
        <v>786</v>
      </c>
      <c r="M163" s="7" t="s">
        <v>348</v>
      </c>
      <c r="N163" s="7" t="s">
        <v>788</v>
      </c>
    </row>
    <row r="164" spans="1:14" ht="30" customHeight="1" x14ac:dyDescent="0.25">
      <c r="A164" s="6" t="s">
        <v>1101</v>
      </c>
      <c r="B164" s="6" t="s">
        <v>345</v>
      </c>
      <c r="C164" s="7" t="s">
        <v>346</v>
      </c>
      <c r="D164" s="7" t="s">
        <v>617</v>
      </c>
      <c r="E164" s="7" t="s">
        <v>618</v>
      </c>
      <c r="F164" s="7" t="s">
        <v>615</v>
      </c>
      <c r="G164" s="7" t="s">
        <v>14</v>
      </c>
      <c r="H164" s="7" t="s">
        <v>67</v>
      </c>
      <c r="I164" s="7" t="s">
        <v>66</v>
      </c>
      <c r="J164" s="7" t="s">
        <v>802</v>
      </c>
      <c r="K164" s="7" t="s">
        <v>1102</v>
      </c>
      <c r="L164" s="7" t="s">
        <v>786</v>
      </c>
      <c r="M164" s="7" t="s">
        <v>348</v>
      </c>
      <c r="N164" s="7" t="s">
        <v>788</v>
      </c>
    </row>
    <row r="165" spans="1:14" ht="30" customHeight="1" x14ac:dyDescent="0.25">
      <c r="A165" s="6" t="s">
        <v>1103</v>
      </c>
      <c r="B165" s="6" t="s">
        <v>345</v>
      </c>
      <c r="C165" s="7" t="s">
        <v>346</v>
      </c>
      <c r="D165" s="7" t="s">
        <v>609</v>
      </c>
      <c r="E165" s="7" t="s">
        <v>610</v>
      </c>
      <c r="F165" s="7" t="s">
        <v>611</v>
      </c>
      <c r="G165" s="7" t="s">
        <v>14</v>
      </c>
      <c r="H165" s="7" t="s">
        <v>67</v>
      </c>
      <c r="I165" s="7" t="s">
        <v>66</v>
      </c>
      <c r="J165" s="7" t="s">
        <v>802</v>
      </c>
      <c r="K165" s="7" t="s">
        <v>1104</v>
      </c>
      <c r="L165" s="7" t="s">
        <v>786</v>
      </c>
      <c r="M165" s="7" t="s">
        <v>348</v>
      </c>
      <c r="N165" s="7" t="s">
        <v>788</v>
      </c>
    </row>
    <row r="166" spans="1:14" ht="30" customHeight="1" x14ac:dyDescent="0.25">
      <c r="A166" s="6" t="s">
        <v>1105</v>
      </c>
      <c r="B166" s="6" t="s">
        <v>349</v>
      </c>
      <c r="C166" s="7" t="s">
        <v>350</v>
      </c>
      <c r="D166" s="7" t="s">
        <v>665</v>
      </c>
      <c r="E166" s="7" t="s">
        <v>666</v>
      </c>
      <c r="F166" s="7" t="s">
        <v>667</v>
      </c>
      <c r="G166" s="7" t="s">
        <v>14</v>
      </c>
      <c r="H166" s="7" t="s">
        <v>67</v>
      </c>
      <c r="I166" s="7" t="s">
        <v>66</v>
      </c>
      <c r="J166" s="7" t="s">
        <v>784</v>
      </c>
      <c r="K166" s="7" t="s">
        <v>1106</v>
      </c>
      <c r="L166" s="7" t="s">
        <v>786</v>
      </c>
      <c r="M166" s="7" t="s">
        <v>353</v>
      </c>
      <c r="N166" s="7" t="s">
        <v>788</v>
      </c>
    </row>
    <row r="167" spans="1:14" ht="30" customHeight="1" x14ac:dyDescent="0.25">
      <c r="A167" s="6" t="s">
        <v>1107</v>
      </c>
      <c r="B167" s="6" t="s">
        <v>349</v>
      </c>
      <c r="C167" s="7" t="s">
        <v>350</v>
      </c>
      <c r="D167" s="7" t="s">
        <v>600</v>
      </c>
      <c r="E167" s="7" t="s">
        <v>601</v>
      </c>
      <c r="F167" s="7" t="s">
        <v>602</v>
      </c>
      <c r="G167" s="7" t="s">
        <v>14</v>
      </c>
      <c r="H167" s="7" t="s">
        <v>67</v>
      </c>
      <c r="I167" s="7" t="s">
        <v>66</v>
      </c>
      <c r="J167" s="7" t="s">
        <v>784</v>
      </c>
      <c r="K167" s="7" t="s">
        <v>1108</v>
      </c>
      <c r="L167" s="7" t="s">
        <v>786</v>
      </c>
      <c r="M167" s="7" t="s">
        <v>353</v>
      </c>
      <c r="N167" s="7" t="s">
        <v>788</v>
      </c>
    </row>
    <row r="168" spans="1:14" ht="30" customHeight="1" x14ac:dyDescent="0.25">
      <c r="A168" s="6" t="s">
        <v>1109</v>
      </c>
      <c r="B168" s="6" t="s">
        <v>349</v>
      </c>
      <c r="C168" s="7" t="s">
        <v>350</v>
      </c>
      <c r="D168" s="7" t="s">
        <v>640</v>
      </c>
      <c r="E168" s="7" t="s">
        <v>641</v>
      </c>
      <c r="F168" s="7" t="s">
        <v>642</v>
      </c>
      <c r="G168" s="7" t="s">
        <v>14</v>
      </c>
      <c r="H168" s="7" t="s">
        <v>67</v>
      </c>
      <c r="I168" s="7" t="s">
        <v>66</v>
      </c>
      <c r="J168" s="7" t="s">
        <v>784</v>
      </c>
      <c r="K168" s="7" t="s">
        <v>1110</v>
      </c>
      <c r="L168" s="7" t="s">
        <v>786</v>
      </c>
      <c r="M168" s="7" t="s">
        <v>353</v>
      </c>
      <c r="N168" s="7" t="s">
        <v>788</v>
      </c>
    </row>
    <row r="169" spans="1:14" ht="30" customHeight="1" x14ac:dyDescent="0.25">
      <c r="A169" s="6" t="s">
        <v>1111</v>
      </c>
      <c r="B169" s="6" t="s">
        <v>354</v>
      </c>
      <c r="C169" s="7" t="s">
        <v>355</v>
      </c>
      <c r="D169" s="7" t="s">
        <v>665</v>
      </c>
      <c r="E169" s="7" t="s">
        <v>666</v>
      </c>
      <c r="F169" s="7" t="s">
        <v>667</v>
      </c>
      <c r="G169" s="7" t="s">
        <v>14</v>
      </c>
      <c r="H169" s="7" t="s">
        <v>67</v>
      </c>
      <c r="I169" s="7" t="s">
        <v>66</v>
      </c>
      <c r="J169" s="7" t="s">
        <v>802</v>
      </c>
      <c r="K169" s="7" t="s">
        <v>1112</v>
      </c>
      <c r="L169" s="7" t="s">
        <v>786</v>
      </c>
      <c r="M169" s="7"/>
      <c r="N169" s="7" t="s">
        <v>788</v>
      </c>
    </row>
    <row r="170" spans="1:14" ht="30" customHeight="1" x14ac:dyDescent="0.25">
      <c r="A170" s="6" t="s">
        <v>1113</v>
      </c>
      <c r="B170" s="6" t="s">
        <v>354</v>
      </c>
      <c r="C170" s="7" t="s">
        <v>355</v>
      </c>
      <c r="D170" s="7" t="s">
        <v>600</v>
      </c>
      <c r="E170" s="7" t="s">
        <v>601</v>
      </c>
      <c r="F170" s="7" t="s">
        <v>602</v>
      </c>
      <c r="G170" s="7" t="s">
        <v>14</v>
      </c>
      <c r="H170" s="7" t="s">
        <v>67</v>
      </c>
      <c r="I170" s="7" t="s">
        <v>66</v>
      </c>
      <c r="J170" s="7" t="s">
        <v>802</v>
      </c>
      <c r="K170" s="7" t="s">
        <v>1114</v>
      </c>
      <c r="L170" s="7" t="s">
        <v>786</v>
      </c>
      <c r="M170" s="7"/>
      <c r="N170" s="7" t="s">
        <v>788</v>
      </c>
    </row>
    <row r="171" spans="1:14" ht="30" customHeight="1" x14ac:dyDescent="0.25">
      <c r="A171" s="6" t="s">
        <v>1115</v>
      </c>
      <c r="B171" s="6" t="s">
        <v>361</v>
      </c>
      <c r="C171" s="7" t="s">
        <v>362</v>
      </c>
      <c r="D171" s="7" t="s">
        <v>600</v>
      </c>
      <c r="E171" s="7" t="s">
        <v>601</v>
      </c>
      <c r="F171" s="7" t="s">
        <v>602</v>
      </c>
      <c r="G171" s="7" t="s">
        <v>14</v>
      </c>
      <c r="H171" s="7" t="s">
        <v>49</v>
      </c>
      <c r="I171" s="7" t="s">
        <v>48</v>
      </c>
      <c r="J171" s="7" t="s">
        <v>901</v>
      </c>
      <c r="K171" s="7" t="s">
        <v>1116</v>
      </c>
      <c r="L171" s="7" t="s">
        <v>796</v>
      </c>
      <c r="M171" s="7" t="s">
        <v>367</v>
      </c>
      <c r="N171" s="7" t="s">
        <v>788</v>
      </c>
    </row>
    <row r="172" spans="1:14" ht="30" customHeight="1" x14ac:dyDescent="0.25">
      <c r="A172" s="6" t="s">
        <v>1117</v>
      </c>
      <c r="B172" s="6" t="s">
        <v>585</v>
      </c>
      <c r="C172" s="7" t="s">
        <v>586</v>
      </c>
      <c r="D172" s="7" t="s">
        <v>649</v>
      </c>
      <c r="E172" s="7" t="s">
        <v>650</v>
      </c>
      <c r="F172" s="7" t="s">
        <v>651</v>
      </c>
      <c r="G172" s="7" t="s">
        <v>13</v>
      </c>
      <c r="H172" s="7" t="s">
        <v>109</v>
      </c>
      <c r="I172" s="7" t="s">
        <v>48</v>
      </c>
      <c r="J172" s="7" t="s">
        <v>896</v>
      </c>
      <c r="K172" s="7" t="s">
        <v>1118</v>
      </c>
      <c r="L172" s="7" t="s">
        <v>786</v>
      </c>
      <c r="M172" s="7" t="s">
        <v>1119</v>
      </c>
      <c r="N172" s="7" t="s">
        <v>788</v>
      </c>
    </row>
    <row r="173" spans="1:14" ht="30" customHeight="1" x14ac:dyDescent="0.25">
      <c r="A173" s="6" t="s">
        <v>1120</v>
      </c>
      <c r="B173" s="6" t="s">
        <v>589</v>
      </c>
      <c r="C173" s="7" t="s">
        <v>590</v>
      </c>
      <c r="D173" s="7" t="s">
        <v>649</v>
      </c>
      <c r="E173" s="7" t="s">
        <v>650</v>
      </c>
      <c r="F173" s="7" t="s">
        <v>651</v>
      </c>
      <c r="G173" s="7" t="s">
        <v>14</v>
      </c>
      <c r="H173" s="7" t="s">
        <v>67</v>
      </c>
      <c r="I173" s="7" t="s">
        <v>66</v>
      </c>
      <c r="J173" s="7" t="s">
        <v>896</v>
      </c>
      <c r="K173" s="7" t="s">
        <v>1121</v>
      </c>
      <c r="L173" s="7" t="s">
        <v>796</v>
      </c>
      <c r="M173" s="7" t="s">
        <v>1122</v>
      </c>
      <c r="N173" s="7" t="s">
        <v>788</v>
      </c>
    </row>
    <row r="174" spans="1:14" ht="30" customHeight="1" x14ac:dyDescent="0.25">
      <c r="A174" s="6" t="s">
        <v>1123</v>
      </c>
      <c r="B174" s="6" t="s">
        <v>444</v>
      </c>
      <c r="C174" s="7" t="s">
        <v>445</v>
      </c>
      <c r="D174" s="7" t="s">
        <v>636</v>
      </c>
      <c r="E174" s="7" t="s">
        <v>637</v>
      </c>
      <c r="F174" s="7" t="s">
        <v>638</v>
      </c>
      <c r="G174" s="7" t="s">
        <v>13</v>
      </c>
      <c r="H174" s="7" t="s">
        <v>109</v>
      </c>
      <c r="I174" s="7" t="s">
        <v>48</v>
      </c>
      <c r="J174" s="7" t="s">
        <v>889</v>
      </c>
      <c r="K174" s="7" t="s">
        <v>1124</v>
      </c>
      <c r="L174" s="7" t="s">
        <v>796</v>
      </c>
      <c r="M174" s="7" t="s">
        <v>449</v>
      </c>
      <c r="N174" s="7" t="s">
        <v>788</v>
      </c>
    </row>
    <row r="175" spans="1:14" ht="30" customHeight="1" x14ac:dyDescent="0.25">
      <c r="A175" s="6" t="s">
        <v>1125</v>
      </c>
      <c r="B175" s="6" t="s">
        <v>444</v>
      </c>
      <c r="C175" s="7" t="s">
        <v>445</v>
      </c>
      <c r="D175" s="7" t="s">
        <v>669</v>
      </c>
      <c r="E175" s="7" t="s">
        <v>615</v>
      </c>
      <c r="F175" s="7" t="s">
        <v>615</v>
      </c>
      <c r="G175" s="7" t="s">
        <v>13</v>
      </c>
      <c r="H175" s="7" t="s">
        <v>109</v>
      </c>
      <c r="I175" s="7" t="s">
        <v>48</v>
      </c>
      <c r="J175" s="7" t="s">
        <v>889</v>
      </c>
      <c r="K175" s="7" t="s">
        <v>1124</v>
      </c>
      <c r="L175" s="7" t="s">
        <v>796</v>
      </c>
      <c r="M175" s="7" t="s">
        <v>449</v>
      </c>
      <c r="N175" s="7" t="s">
        <v>788</v>
      </c>
    </row>
    <row r="176" spans="1:14" ht="30" customHeight="1" x14ac:dyDescent="0.25">
      <c r="A176" s="6" t="s">
        <v>1126</v>
      </c>
      <c r="B176" s="6" t="s">
        <v>444</v>
      </c>
      <c r="C176" s="7" t="s">
        <v>445</v>
      </c>
      <c r="D176" s="7" t="s">
        <v>671</v>
      </c>
      <c r="E176" s="7" t="s">
        <v>672</v>
      </c>
      <c r="F176" s="7" t="s">
        <v>622</v>
      </c>
      <c r="G176" s="7" t="s">
        <v>13</v>
      </c>
      <c r="H176" s="7" t="s">
        <v>109</v>
      </c>
      <c r="I176" s="7" t="s">
        <v>48</v>
      </c>
      <c r="J176" s="7" t="s">
        <v>889</v>
      </c>
      <c r="K176" s="7" t="s">
        <v>1124</v>
      </c>
      <c r="L176" s="7" t="s">
        <v>796</v>
      </c>
      <c r="M176" s="7" t="s">
        <v>449</v>
      </c>
      <c r="N176" s="7" t="s">
        <v>788</v>
      </c>
    </row>
    <row r="177" spans="1:14" ht="30" customHeight="1" x14ac:dyDescent="0.25">
      <c r="A177" s="6" t="s">
        <v>1127</v>
      </c>
      <c r="B177" s="6" t="s">
        <v>444</v>
      </c>
      <c r="C177" s="7" t="s">
        <v>445</v>
      </c>
      <c r="D177" s="7" t="s">
        <v>624</v>
      </c>
      <c r="E177" s="7" t="s">
        <v>622</v>
      </c>
      <c r="F177" s="7" t="s">
        <v>622</v>
      </c>
      <c r="G177" s="7" t="s">
        <v>13</v>
      </c>
      <c r="H177" s="7" t="s">
        <v>109</v>
      </c>
      <c r="I177" s="7" t="s">
        <v>48</v>
      </c>
      <c r="J177" s="7" t="s">
        <v>889</v>
      </c>
      <c r="K177" s="7" t="s">
        <v>1124</v>
      </c>
      <c r="L177" s="7" t="s">
        <v>796</v>
      </c>
      <c r="M177" s="7" t="s">
        <v>449</v>
      </c>
      <c r="N177" s="7" t="s">
        <v>788</v>
      </c>
    </row>
    <row r="178" spans="1:14" ht="30" customHeight="1" x14ac:dyDescent="0.25">
      <c r="A178" s="6" t="s">
        <v>1128</v>
      </c>
      <c r="B178" s="6" t="s">
        <v>450</v>
      </c>
      <c r="C178" s="7" t="s">
        <v>451</v>
      </c>
      <c r="D178" s="7" t="s">
        <v>671</v>
      </c>
      <c r="E178" s="7" t="s">
        <v>672</v>
      </c>
      <c r="F178" s="7" t="s">
        <v>622</v>
      </c>
      <c r="G178" s="7" t="s">
        <v>13</v>
      </c>
      <c r="H178" s="7" t="s">
        <v>109</v>
      </c>
      <c r="I178" s="7" t="s">
        <v>48</v>
      </c>
      <c r="J178" s="7" t="s">
        <v>802</v>
      </c>
      <c r="K178" s="7" t="s">
        <v>1129</v>
      </c>
      <c r="L178" s="7" t="s">
        <v>796</v>
      </c>
      <c r="M178" s="7" t="s">
        <v>1130</v>
      </c>
      <c r="N178" s="7" t="s">
        <v>788</v>
      </c>
    </row>
    <row r="179" spans="1:14" ht="30" customHeight="1" x14ac:dyDescent="0.25">
      <c r="A179" s="6" t="s">
        <v>1131</v>
      </c>
      <c r="B179" s="6" t="s">
        <v>450</v>
      </c>
      <c r="C179" s="7" t="s">
        <v>451</v>
      </c>
      <c r="D179" s="7" t="s">
        <v>624</v>
      </c>
      <c r="E179" s="7" t="s">
        <v>622</v>
      </c>
      <c r="F179" s="7" t="s">
        <v>622</v>
      </c>
      <c r="G179" s="7" t="s">
        <v>13</v>
      </c>
      <c r="H179" s="7" t="s">
        <v>109</v>
      </c>
      <c r="I179" s="7" t="s">
        <v>48</v>
      </c>
      <c r="J179" s="7" t="s">
        <v>802</v>
      </c>
      <c r="K179" s="7" t="s">
        <v>1129</v>
      </c>
      <c r="L179" s="7" t="s">
        <v>796</v>
      </c>
      <c r="M179" s="7" t="s">
        <v>1130</v>
      </c>
      <c r="N179" s="7" t="s">
        <v>788</v>
      </c>
    </row>
    <row r="180" spans="1:14" ht="30" customHeight="1" x14ac:dyDescent="0.25">
      <c r="A180" s="6" t="s">
        <v>1132</v>
      </c>
      <c r="B180" s="6" t="s">
        <v>450</v>
      </c>
      <c r="C180" s="7" t="s">
        <v>451</v>
      </c>
      <c r="D180" s="7" t="s">
        <v>636</v>
      </c>
      <c r="E180" s="7" t="s">
        <v>637</v>
      </c>
      <c r="F180" s="7" t="s">
        <v>638</v>
      </c>
      <c r="G180" s="7" t="s">
        <v>13</v>
      </c>
      <c r="H180" s="7" t="s">
        <v>109</v>
      </c>
      <c r="I180" s="7" t="s">
        <v>48</v>
      </c>
      <c r="J180" s="7" t="s">
        <v>802</v>
      </c>
      <c r="K180" s="7" t="s">
        <v>1129</v>
      </c>
      <c r="L180" s="7" t="s">
        <v>796</v>
      </c>
      <c r="M180" s="7" t="s">
        <v>1130</v>
      </c>
      <c r="N180" s="7" t="s">
        <v>788</v>
      </c>
    </row>
    <row r="181" spans="1:14" ht="30" customHeight="1" x14ac:dyDescent="0.25">
      <c r="A181" s="6" t="s">
        <v>1133</v>
      </c>
      <c r="B181" s="6" t="s">
        <v>450</v>
      </c>
      <c r="C181" s="7" t="s">
        <v>451</v>
      </c>
      <c r="D181" s="7" t="s">
        <v>600</v>
      </c>
      <c r="E181" s="7" t="s">
        <v>601</v>
      </c>
      <c r="F181" s="7" t="s">
        <v>602</v>
      </c>
      <c r="G181" s="7" t="s">
        <v>13</v>
      </c>
      <c r="H181" s="7" t="s">
        <v>109</v>
      </c>
      <c r="I181" s="7" t="s">
        <v>48</v>
      </c>
      <c r="J181" s="7" t="s">
        <v>802</v>
      </c>
      <c r="K181" s="7" t="s">
        <v>1129</v>
      </c>
      <c r="L181" s="7" t="s">
        <v>796</v>
      </c>
      <c r="M181" s="7" t="s">
        <v>1130</v>
      </c>
      <c r="N181" s="7" t="s">
        <v>788</v>
      </c>
    </row>
    <row r="182" spans="1:14" ht="30" customHeight="1" x14ac:dyDescent="0.25">
      <c r="A182" s="6" t="s">
        <v>1134</v>
      </c>
      <c r="B182" s="6" t="s">
        <v>455</v>
      </c>
      <c r="C182" s="7" t="s">
        <v>456</v>
      </c>
      <c r="D182" s="7" t="s">
        <v>671</v>
      </c>
      <c r="E182" s="7" t="s">
        <v>672</v>
      </c>
      <c r="F182" s="7" t="s">
        <v>622</v>
      </c>
      <c r="G182" s="7" t="s">
        <v>13</v>
      </c>
      <c r="H182" s="7" t="s">
        <v>109</v>
      </c>
      <c r="I182" s="7" t="s">
        <v>48</v>
      </c>
      <c r="J182" s="7" t="s">
        <v>889</v>
      </c>
      <c r="K182" s="7" t="s">
        <v>1135</v>
      </c>
      <c r="L182" s="7" t="s">
        <v>796</v>
      </c>
      <c r="M182" s="7" t="s">
        <v>459</v>
      </c>
      <c r="N182" s="7" t="s">
        <v>788</v>
      </c>
    </row>
    <row r="183" spans="1:14" ht="30" customHeight="1" x14ac:dyDescent="0.25">
      <c r="A183" s="6" t="s">
        <v>1136</v>
      </c>
      <c r="B183" s="6" t="s">
        <v>455</v>
      </c>
      <c r="C183" s="7" t="s">
        <v>456</v>
      </c>
      <c r="D183" s="7" t="s">
        <v>624</v>
      </c>
      <c r="E183" s="7" t="s">
        <v>622</v>
      </c>
      <c r="F183" s="7" t="s">
        <v>622</v>
      </c>
      <c r="G183" s="7" t="s">
        <v>13</v>
      </c>
      <c r="H183" s="7" t="s">
        <v>109</v>
      </c>
      <c r="I183" s="7" t="s">
        <v>48</v>
      </c>
      <c r="J183" s="7" t="s">
        <v>889</v>
      </c>
      <c r="K183" s="7" t="s">
        <v>1135</v>
      </c>
      <c r="L183" s="7" t="s">
        <v>796</v>
      </c>
      <c r="M183" s="7" t="s">
        <v>459</v>
      </c>
      <c r="N183" s="7" t="s">
        <v>788</v>
      </c>
    </row>
    <row r="184" spans="1:14" ht="30" customHeight="1" x14ac:dyDescent="0.25">
      <c r="A184" s="6" t="s">
        <v>1137</v>
      </c>
      <c r="B184" s="6" t="s">
        <v>455</v>
      </c>
      <c r="C184" s="7" t="s">
        <v>456</v>
      </c>
      <c r="D184" s="7" t="s">
        <v>636</v>
      </c>
      <c r="E184" s="7" t="s">
        <v>637</v>
      </c>
      <c r="F184" s="7" t="s">
        <v>638</v>
      </c>
      <c r="G184" s="7" t="s">
        <v>13</v>
      </c>
      <c r="H184" s="7" t="s">
        <v>109</v>
      </c>
      <c r="I184" s="7" t="s">
        <v>48</v>
      </c>
      <c r="J184" s="7" t="s">
        <v>889</v>
      </c>
      <c r="K184" s="7" t="s">
        <v>1135</v>
      </c>
      <c r="L184" s="7" t="s">
        <v>796</v>
      </c>
      <c r="M184" s="7" t="s">
        <v>459</v>
      </c>
      <c r="N184" s="7" t="s">
        <v>788</v>
      </c>
    </row>
    <row r="185" spans="1:14" ht="30" customHeight="1" x14ac:dyDescent="0.25">
      <c r="A185" s="6" t="s">
        <v>1138</v>
      </c>
      <c r="B185" s="6" t="s">
        <v>455</v>
      </c>
      <c r="C185" s="7" t="s">
        <v>456</v>
      </c>
      <c r="D185" s="7" t="s">
        <v>600</v>
      </c>
      <c r="E185" s="7" t="s">
        <v>601</v>
      </c>
      <c r="F185" s="7" t="s">
        <v>602</v>
      </c>
      <c r="G185" s="7" t="s">
        <v>13</v>
      </c>
      <c r="H185" s="7" t="s">
        <v>109</v>
      </c>
      <c r="I185" s="7" t="s">
        <v>48</v>
      </c>
      <c r="J185" s="7" t="s">
        <v>889</v>
      </c>
      <c r="K185" s="7" t="s">
        <v>1135</v>
      </c>
      <c r="L185" s="7" t="s">
        <v>796</v>
      </c>
      <c r="M185" s="7" t="s">
        <v>459</v>
      </c>
      <c r="N185" s="7" t="s">
        <v>788</v>
      </c>
    </row>
    <row r="186" spans="1:14" ht="30" customHeight="1" x14ac:dyDescent="0.25">
      <c r="A186" s="6" t="s">
        <v>1139</v>
      </c>
      <c r="B186" s="6" t="s">
        <v>460</v>
      </c>
      <c r="C186" s="7" t="s">
        <v>461</v>
      </c>
      <c r="D186" s="7" t="s">
        <v>674</v>
      </c>
      <c r="E186" s="7" t="s">
        <v>675</v>
      </c>
      <c r="F186" s="7" t="s">
        <v>667</v>
      </c>
      <c r="G186" s="7" t="s">
        <v>13</v>
      </c>
      <c r="H186" s="7" t="s">
        <v>109</v>
      </c>
      <c r="I186" s="7" t="s">
        <v>48</v>
      </c>
      <c r="J186" s="7" t="s">
        <v>1140</v>
      </c>
      <c r="K186" s="7" t="s">
        <v>1141</v>
      </c>
      <c r="L186" s="7" t="s">
        <v>786</v>
      </c>
      <c r="M186" s="7" t="s">
        <v>464</v>
      </c>
      <c r="N186" s="7" t="s">
        <v>788</v>
      </c>
    </row>
    <row r="187" spans="1:14" ht="30" customHeight="1" x14ac:dyDescent="0.25">
      <c r="A187" s="6" t="s">
        <v>1142</v>
      </c>
      <c r="B187" s="6" t="s">
        <v>460</v>
      </c>
      <c r="C187" s="7" t="s">
        <v>461</v>
      </c>
      <c r="D187" s="7" t="s">
        <v>677</v>
      </c>
      <c r="E187" s="7" t="s">
        <v>678</v>
      </c>
      <c r="F187" s="7" t="s">
        <v>667</v>
      </c>
      <c r="G187" s="7" t="s">
        <v>13</v>
      </c>
      <c r="H187" s="7" t="s">
        <v>109</v>
      </c>
      <c r="I187" s="7" t="s">
        <v>48</v>
      </c>
      <c r="J187" s="7" t="s">
        <v>1140</v>
      </c>
      <c r="K187" s="7" t="s">
        <v>1141</v>
      </c>
      <c r="L187" s="7" t="s">
        <v>786</v>
      </c>
      <c r="M187" s="7" t="s">
        <v>464</v>
      </c>
      <c r="N187" s="7" t="s">
        <v>788</v>
      </c>
    </row>
    <row r="188" spans="1:14" ht="30" customHeight="1" x14ac:dyDescent="0.25">
      <c r="A188" s="6" t="s">
        <v>1143</v>
      </c>
      <c r="B188" s="6" t="s">
        <v>460</v>
      </c>
      <c r="C188" s="7" t="s">
        <v>461</v>
      </c>
      <c r="D188" s="7" t="s">
        <v>665</v>
      </c>
      <c r="E188" s="7" t="s">
        <v>666</v>
      </c>
      <c r="F188" s="7" t="s">
        <v>667</v>
      </c>
      <c r="G188" s="7" t="s">
        <v>13</v>
      </c>
      <c r="H188" s="7" t="s">
        <v>109</v>
      </c>
      <c r="I188" s="7" t="s">
        <v>48</v>
      </c>
      <c r="J188" s="7" t="s">
        <v>1140</v>
      </c>
      <c r="K188" s="7" t="s">
        <v>1141</v>
      </c>
      <c r="L188" s="7" t="s">
        <v>786</v>
      </c>
      <c r="M188" s="7" t="s">
        <v>464</v>
      </c>
      <c r="N188" s="7" t="s">
        <v>788</v>
      </c>
    </row>
    <row r="189" spans="1:14" ht="30" customHeight="1" x14ac:dyDescent="0.25">
      <c r="A189" s="6" t="s">
        <v>1144</v>
      </c>
      <c r="B189" s="6" t="s">
        <v>460</v>
      </c>
      <c r="C189" s="7" t="s">
        <v>461</v>
      </c>
      <c r="D189" s="7" t="s">
        <v>609</v>
      </c>
      <c r="E189" s="7" t="s">
        <v>610</v>
      </c>
      <c r="F189" s="7" t="s">
        <v>611</v>
      </c>
      <c r="G189" s="7" t="s">
        <v>13</v>
      </c>
      <c r="H189" s="7" t="s">
        <v>109</v>
      </c>
      <c r="I189" s="7" t="s">
        <v>48</v>
      </c>
      <c r="J189" s="7" t="s">
        <v>1140</v>
      </c>
      <c r="K189" s="7" t="s">
        <v>1141</v>
      </c>
      <c r="L189" s="7" t="s">
        <v>791</v>
      </c>
      <c r="M189" s="7" t="s">
        <v>464</v>
      </c>
      <c r="N189" s="7" t="s">
        <v>788</v>
      </c>
    </row>
    <row r="190" spans="1:14" ht="30" customHeight="1" x14ac:dyDescent="0.25">
      <c r="A190" s="6" t="s">
        <v>1145</v>
      </c>
      <c r="B190" s="6" t="s">
        <v>465</v>
      </c>
      <c r="C190" s="7" t="s">
        <v>466</v>
      </c>
      <c r="D190" s="7" t="s">
        <v>609</v>
      </c>
      <c r="E190" s="7" t="s">
        <v>610</v>
      </c>
      <c r="F190" s="7" t="s">
        <v>611</v>
      </c>
      <c r="G190" s="7" t="s">
        <v>13</v>
      </c>
      <c r="H190" s="7" t="s">
        <v>109</v>
      </c>
      <c r="I190" s="7" t="s">
        <v>48</v>
      </c>
      <c r="J190" s="7" t="s">
        <v>802</v>
      </c>
      <c r="K190" s="7" t="s">
        <v>1146</v>
      </c>
      <c r="L190" s="7" t="s">
        <v>791</v>
      </c>
      <c r="M190" s="7" t="s">
        <v>1147</v>
      </c>
      <c r="N190" s="7" t="s">
        <v>788</v>
      </c>
    </row>
    <row r="191" spans="1:14" ht="30" customHeight="1" x14ac:dyDescent="0.25">
      <c r="A191" s="6" t="s">
        <v>1148</v>
      </c>
      <c r="B191" s="6" t="s">
        <v>465</v>
      </c>
      <c r="C191" s="7" t="s">
        <v>466</v>
      </c>
      <c r="D191" s="7" t="s">
        <v>669</v>
      </c>
      <c r="E191" s="7" t="s">
        <v>615</v>
      </c>
      <c r="F191" s="7" t="s">
        <v>615</v>
      </c>
      <c r="G191" s="7" t="s">
        <v>13</v>
      </c>
      <c r="H191" s="7" t="s">
        <v>109</v>
      </c>
      <c r="I191" s="7" t="s">
        <v>48</v>
      </c>
      <c r="J191" s="7" t="s">
        <v>802</v>
      </c>
      <c r="K191" s="7" t="s">
        <v>1146</v>
      </c>
      <c r="L191" s="7" t="s">
        <v>791</v>
      </c>
      <c r="M191" s="7" t="s">
        <v>1147</v>
      </c>
      <c r="N191" s="7" t="s">
        <v>788</v>
      </c>
    </row>
    <row r="192" spans="1:14" ht="30" customHeight="1" x14ac:dyDescent="0.25">
      <c r="A192" s="6" t="s">
        <v>1149</v>
      </c>
      <c r="B192" s="6" t="s">
        <v>465</v>
      </c>
      <c r="C192" s="7" t="s">
        <v>466</v>
      </c>
      <c r="D192" s="7" t="s">
        <v>600</v>
      </c>
      <c r="E192" s="7" t="s">
        <v>601</v>
      </c>
      <c r="F192" s="7" t="s">
        <v>602</v>
      </c>
      <c r="G192" s="7" t="s">
        <v>13</v>
      </c>
      <c r="H192" s="7" t="s">
        <v>109</v>
      </c>
      <c r="I192" s="7" t="s">
        <v>48</v>
      </c>
      <c r="J192" s="7" t="s">
        <v>802</v>
      </c>
      <c r="K192" s="7" t="s">
        <v>1146</v>
      </c>
      <c r="L192" s="7" t="s">
        <v>791</v>
      </c>
      <c r="M192" s="7" t="s">
        <v>1147</v>
      </c>
      <c r="N192" s="7" t="s">
        <v>788</v>
      </c>
    </row>
    <row r="193" spans="1:14" ht="30" customHeight="1" x14ac:dyDescent="0.25">
      <c r="A193" s="6" t="s">
        <v>1150</v>
      </c>
      <c r="B193" s="6" t="s">
        <v>465</v>
      </c>
      <c r="C193" s="7" t="s">
        <v>466</v>
      </c>
      <c r="D193" s="7" t="s">
        <v>680</v>
      </c>
      <c r="E193" s="7" t="s">
        <v>681</v>
      </c>
      <c r="F193" s="7" t="s">
        <v>682</v>
      </c>
      <c r="G193" s="7" t="s">
        <v>13</v>
      </c>
      <c r="H193" s="7" t="s">
        <v>109</v>
      </c>
      <c r="I193" s="7" t="s">
        <v>48</v>
      </c>
      <c r="J193" s="7" t="s">
        <v>802</v>
      </c>
      <c r="K193" s="7" t="s">
        <v>1146</v>
      </c>
      <c r="L193" s="7" t="s">
        <v>791</v>
      </c>
      <c r="M193" s="7" t="s">
        <v>1147</v>
      </c>
      <c r="N193" s="7" t="s">
        <v>788</v>
      </c>
    </row>
    <row r="194" spans="1:14" ht="30" customHeight="1" x14ac:dyDescent="0.25">
      <c r="A194" s="6" t="s">
        <v>1151</v>
      </c>
      <c r="B194" s="6" t="s">
        <v>470</v>
      </c>
      <c r="C194" s="7" t="s">
        <v>471</v>
      </c>
      <c r="D194" s="7" t="s">
        <v>674</v>
      </c>
      <c r="E194" s="7" t="s">
        <v>675</v>
      </c>
      <c r="F194" s="7" t="s">
        <v>667</v>
      </c>
      <c r="G194" s="7" t="s">
        <v>13</v>
      </c>
      <c r="H194" s="7" t="s">
        <v>109</v>
      </c>
      <c r="I194" s="7" t="s">
        <v>66</v>
      </c>
      <c r="J194" s="7" t="s">
        <v>1140</v>
      </c>
      <c r="K194" s="7" t="s">
        <v>1152</v>
      </c>
      <c r="L194" s="7" t="s">
        <v>786</v>
      </c>
      <c r="M194" s="7" t="s">
        <v>1153</v>
      </c>
      <c r="N194" s="7" t="s">
        <v>788</v>
      </c>
    </row>
    <row r="195" spans="1:14" ht="30" customHeight="1" x14ac:dyDescent="0.25">
      <c r="A195" s="6" t="s">
        <v>1154</v>
      </c>
      <c r="B195" s="6" t="s">
        <v>470</v>
      </c>
      <c r="C195" s="7" t="s">
        <v>471</v>
      </c>
      <c r="D195" s="7" t="s">
        <v>677</v>
      </c>
      <c r="E195" s="7" t="s">
        <v>678</v>
      </c>
      <c r="F195" s="7" t="s">
        <v>667</v>
      </c>
      <c r="G195" s="7" t="s">
        <v>13</v>
      </c>
      <c r="H195" s="7" t="s">
        <v>109</v>
      </c>
      <c r="I195" s="7" t="s">
        <v>66</v>
      </c>
      <c r="J195" s="7" t="s">
        <v>1140</v>
      </c>
      <c r="K195" s="7" t="s">
        <v>1155</v>
      </c>
      <c r="L195" s="7" t="s">
        <v>786</v>
      </c>
      <c r="M195" s="7" t="s">
        <v>1153</v>
      </c>
      <c r="N195" s="7" t="s">
        <v>788</v>
      </c>
    </row>
    <row r="196" spans="1:14" ht="30" customHeight="1" x14ac:dyDescent="0.25">
      <c r="A196" s="6" t="s">
        <v>1156</v>
      </c>
      <c r="B196" s="6" t="s">
        <v>470</v>
      </c>
      <c r="C196" s="7" t="s">
        <v>471</v>
      </c>
      <c r="D196" s="7" t="s">
        <v>665</v>
      </c>
      <c r="E196" s="7" t="s">
        <v>666</v>
      </c>
      <c r="F196" s="7" t="s">
        <v>667</v>
      </c>
      <c r="G196" s="7" t="s">
        <v>13</v>
      </c>
      <c r="H196" s="7" t="s">
        <v>109</v>
      </c>
      <c r="I196" s="7" t="s">
        <v>66</v>
      </c>
      <c r="J196" s="7" t="s">
        <v>1140</v>
      </c>
      <c r="K196" s="7" t="s">
        <v>1157</v>
      </c>
      <c r="L196" s="7" t="s">
        <v>786</v>
      </c>
      <c r="M196" s="7" t="s">
        <v>1153</v>
      </c>
      <c r="N196" s="7" t="s">
        <v>788</v>
      </c>
    </row>
    <row r="197" spans="1:14" ht="30" customHeight="1" x14ac:dyDescent="0.25">
      <c r="A197" s="6" t="s">
        <v>1158</v>
      </c>
      <c r="B197" s="6" t="s">
        <v>475</v>
      </c>
      <c r="C197" s="7" t="s">
        <v>476</v>
      </c>
      <c r="D197" s="7" t="s">
        <v>659</v>
      </c>
      <c r="E197" s="7" t="s">
        <v>660</v>
      </c>
      <c r="F197" s="7" t="s">
        <v>607</v>
      </c>
      <c r="G197" s="7" t="s">
        <v>13</v>
      </c>
      <c r="H197" s="7" t="s">
        <v>109</v>
      </c>
      <c r="I197" s="7" t="s">
        <v>48</v>
      </c>
      <c r="J197" s="7" t="s">
        <v>802</v>
      </c>
      <c r="K197" s="7" t="s">
        <v>1159</v>
      </c>
      <c r="L197" s="7" t="s">
        <v>786</v>
      </c>
      <c r="M197" s="7" t="s">
        <v>1160</v>
      </c>
      <c r="N197" s="7" t="s">
        <v>788</v>
      </c>
    </row>
    <row r="198" spans="1:14" ht="30" customHeight="1" x14ac:dyDescent="0.25">
      <c r="A198" s="6" t="s">
        <v>1161</v>
      </c>
      <c r="B198" s="6" t="s">
        <v>475</v>
      </c>
      <c r="C198" s="7" t="s">
        <v>476</v>
      </c>
      <c r="D198" s="7" t="s">
        <v>662</v>
      </c>
      <c r="E198" s="7" t="s">
        <v>663</v>
      </c>
      <c r="F198" s="7" t="s">
        <v>607</v>
      </c>
      <c r="G198" s="7" t="s">
        <v>13</v>
      </c>
      <c r="H198" s="7" t="s">
        <v>109</v>
      </c>
      <c r="I198" s="7" t="s">
        <v>48</v>
      </c>
      <c r="J198" s="7" t="s">
        <v>802</v>
      </c>
      <c r="K198" s="7" t="s">
        <v>1162</v>
      </c>
      <c r="L198" s="7" t="s">
        <v>786</v>
      </c>
      <c r="M198" s="7" t="s">
        <v>1160</v>
      </c>
      <c r="N198" s="7" t="s">
        <v>788</v>
      </c>
    </row>
    <row r="199" spans="1:14" ht="30" customHeight="1" x14ac:dyDescent="0.25">
      <c r="A199" s="6" t="s">
        <v>1163</v>
      </c>
      <c r="B199" s="6" t="s">
        <v>475</v>
      </c>
      <c r="C199" s="7" t="s">
        <v>476</v>
      </c>
      <c r="D199" s="7" t="s">
        <v>665</v>
      </c>
      <c r="E199" s="7" t="s">
        <v>666</v>
      </c>
      <c r="F199" s="7" t="s">
        <v>667</v>
      </c>
      <c r="G199" s="7" t="s">
        <v>13</v>
      </c>
      <c r="H199" s="7" t="s">
        <v>109</v>
      </c>
      <c r="I199" s="7" t="s">
        <v>48</v>
      </c>
      <c r="J199" s="7" t="s">
        <v>802</v>
      </c>
      <c r="K199" s="7" t="s">
        <v>1164</v>
      </c>
      <c r="L199" s="7" t="s">
        <v>786</v>
      </c>
      <c r="M199" s="7" t="s">
        <v>1160</v>
      </c>
      <c r="N199" s="7" t="s">
        <v>788</v>
      </c>
    </row>
    <row r="200" spans="1:14" ht="30" customHeight="1" x14ac:dyDescent="0.25">
      <c r="A200" s="6" t="s">
        <v>1165</v>
      </c>
      <c r="B200" s="6" t="s">
        <v>479</v>
      </c>
      <c r="C200" s="7" t="s">
        <v>480</v>
      </c>
      <c r="D200" s="7" t="s">
        <v>671</v>
      </c>
      <c r="E200" s="7" t="s">
        <v>672</v>
      </c>
      <c r="F200" s="7" t="s">
        <v>622</v>
      </c>
      <c r="G200" s="7" t="s">
        <v>13</v>
      </c>
      <c r="H200" s="7" t="s">
        <v>109</v>
      </c>
      <c r="I200" s="7" t="s">
        <v>48</v>
      </c>
      <c r="J200" s="7" t="s">
        <v>889</v>
      </c>
      <c r="K200" s="7" t="s">
        <v>1166</v>
      </c>
      <c r="L200" s="7" t="s">
        <v>796</v>
      </c>
      <c r="M200" s="7" t="s">
        <v>1167</v>
      </c>
      <c r="N200" s="7" t="s">
        <v>788</v>
      </c>
    </row>
    <row r="201" spans="1:14" ht="30" customHeight="1" x14ac:dyDescent="0.25">
      <c r="A201" s="6" t="s">
        <v>1168</v>
      </c>
      <c r="B201" s="6" t="s">
        <v>479</v>
      </c>
      <c r="C201" s="7" t="s">
        <v>480</v>
      </c>
      <c r="D201" s="7" t="s">
        <v>624</v>
      </c>
      <c r="E201" s="7" t="s">
        <v>622</v>
      </c>
      <c r="F201" s="7" t="s">
        <v>622</v>
      </c>
      <c r="G201" s="7" t="s">
        <v>13</v>
      </c>
      <c r="H201" s="7" t="s">
        <v>109</v>
      </c>
      <c r="I201" s="7" t="s">
        <v>48</v>
      </c>
      <c r="J201" s="7" t="s">
        <v>889</v>
      </c>
      <c r="K201" s="7" t="s">
        <v>1169</v>
      </c>
      <c r="L201" s="7" t="s">
        <v>796</v>
      </c>
      <c r="M201" s="7" t="s">
        <v>1167</v>
      </c>
      <c r="N201" s="7" t="s">
        <v>788</v>
      </c>
    </row>
    <row r="202" spans="1:14" ht="30" customHeight="1" x14ac:dyDescent="0.25">
      <c r="A202" s="6" t="s">
        <v>1170</v>
      </c>
      <c r="B202" s="6" t="s">
        <v>479</v>
      </c>
      <c r="C202" s="7" t="s">
        <v>480</v>
      </c>
      <c r="D202" s="7" t="s">
        <v>636</v>
      </c>
      <c r="E202" s="7" t="s">
        <v>637</v>
      </c>
      <c r="F202" s="7" t="s">
        <v>638</v>
      </c>
      <c r="G202" s="7" t="s">
        <v>13</v>
      </c>
      <c r="H202" s="7" t="s">
        <v>109</v>
      </c>
      <c r="I202" s="7" t="s">
        <v>48</v>
      </c>
      <c r="J202" s="7" t="s">
        <v>889</v>
      </c>
      <c r="K202" s="7" t="s">
        <v>1171</v>
      </c>
      <c r="L202" s="7" t="s">
        <v>796</v>
      </c>
      <c r="M202" s="7" t="s">
        <v>1167</v>
      </c>
      <c r="N202" s="7" t="s">
        <v>788</v>
      </c>
    </row>
    <row r="203" spans="1:14" ht="30" customHeight="1" x14ac:dyDescent="0.25">
      <c r="A203" s="6" t="s">
        <v>1172</v>
      </c>
      <c r="B203" s="6" t="s">
        <v>479</v>
      </c>
      <c r="C203" s="7" t="s">
        <v>480</v>
      </c>
      <c r="D203" s="7" t="s">
        <v>600</v>
      </c>
      <c r="E203" s="7" t="s">
        <v>601</v>
      </c>
      <c r="F203" s="7" t="s">
        <v>602</v>
      </c>
      <c r="G203" s="7" t="s">
        <v>13</v>
      </c>
      <c r="H203" s="7" t="s">
        <v>109</v>
      </c>
      <c r="I203" s="7" t="s">
        <v>48</v>
      </c>
      <c r="J203" s="7" t="s">
        <v>889</v>
      </c>
      <c r="K203" s="7" t="s">
        <v>1173</v>
      </c>
      <c r="L203" s="7" t="s">
        <v>796</v>
      </c>
      <c r="M203" s="7" t="s">
        <v>1167</v>
      </c>
      <c r="N203" s="7" t="s">
        <v>788</v>
      </c>
    </row>
    <row r="204" spans="1:14" ht="30" customHeight="1" x14ac:dyDescent="0.25">
      <c r="A204" s="6" t="s">
        <v>1174</v>
      </c>
      <c r="B204" s="6" t="s">
        <v>482</v>
      </c>
      <c r="C204" s="7" t="s">
        <v>483</v>
      </c>
      <c r="D204" s="7" t="s">
        <v>609</v>
      </c>
      <c r="E204" s="7" t="s">
        <v>610</v>
      </c>
      <c r="F204" s="7" t="s">
        <v>611</v>
      </c>
      <c r="G204" s="7" t="s">
        <v>13</v>
      </c>
      <c r="H204" s="7" t="s">
        <v>109</v>
      </c>
      <c r="I204" s="7" t="s">
        <v>66</v>
      </c>
      <c r="J204" s="7" t="s">
        <v>802</v>
      </c>
      <c r="K204" s="7" t="s">
        <v>1175</v>
      </c>
      <c r="L204" s="7" t="s">
        <v>791</v>
      </c>
      <c r="M204" s="7" t="s">
        <v>1176</v>
      </c>
      <c r="N204" s="7" t="s">
        <v>788</v>
      </c>
    </row>
    <row r="205" spans="1:14" ht="30" customHeight="1" x14ac:dyDescent="0.25">
      <c r="A205" s="6" t="s">
        <v>1177</v>
      </c>
      <c r="B205" s="6" t="s">
        <v>482</v>
      </c>
      <c r="C205" s="7" t="s">
        <v>483</v>
      </c>
      <c r="D205" s="7" t="s">
        <v>600</v>
      </c>
      <c r="E205" s="7" t="s">
        <v>601</v>
      </c>
      <c r="F205" s="7" t="s">
        <v>602</v>
      </c>
      <c r="G205" s="7" t="s">
        <v>13</v>
      </c>
      <c r="H205" s="7" t="s">
        <v>109</v>
      </c>
      <c r="I205" s="7" t="s">
        <v>66</v>
      </c>
      <c r="J205" s="7" t="s">
        <v>802</v>
      </c>
      <c r="K205" s="7" t="s">
        <v>1175</v>
      </c>
      <c r="L205" s="7" t="s">
        <v>791</v>
      </c>
      <c r="M205" s="7" t="s">
        <v>1176</v>
      </c>
      <c r="N205" s="7" t="s">
        <v>788</v>
      </c>
    </row>
    <row r="206" spans="1:14" ht="30" customHeight="1" x14ac:dyDescent="0.25">
      <c r="A206" s="6" t="s">
        <v>1178</v>
      </c>
      <c r="B206" s="6" t="s">
        <v>482</v>
      </c>
      <c r="C206" s="7" t="s">
        <v>483</v>
      </c>
      <c r="D206" s="7" t="s">
        <v>680</v>
      </c>
      <c r="E206" s="7" t="s">
        <v>681</v>
      </c>
      <c r="F206" s="7" t="s">
        <v>682</v>
      </c>
      <c r="G206" s="7" t="s">
        <v>13</v>
      </c>
      <c r="H206" s="7" t="s">
        <v>109</v>
      </c>
      <c r="I206" s="7" t="s">
        <v>66</v>
      </c>
      <c r="J206" s="7" t="s">
        <v>802</v>
      </c>
      <c r="K206" s="7" t="s">
        <v>1179</v>
      </c>
      <c r="L206" s="7" t="s">
        <v>786</v>
      </c>
      <c r="M206" s="7" t="s">
        <v>1176</v>
      </c>
      <c r="N206" s="7" t="s">
        <v>788</v>
      </c>
    </row>
    <row r="207" spans="1:14" ht="30" customHeight="1" x14ac:dyDescent="0.25">
      <c r="A207" s="6" t="s">
        <v>1180</v>
      </c>
      <c r="B207" s="6" t="s">
        <v>269</v>
      </c>
      <c r="C207" s="7" t="s">
        <v>270</v>
      </c>
      <c r="D207" s="7" t="s">
        <v>671</v>
      </c>
      <c r="E207" s="7" t="s">
        <v>672</v>
      </c>
      <c r="F207" s="7" t="s">
        <v>622</v>
      </c>
      <c r="G207" s="7" t="s">
        <v>13</v>
      </c>
      <c r="H207" s="7" t="s">
        <v>109</v>
      </c>
      <c r="I207" s="7" t="s">
        <v>48</v>
      </c>
      <c r="J207" s="7" t="s">
        <v>802</v>
      </c>
      <c r="K207" s="7" t="s">
        <v>1181</v>
      </c>
      <c r="L207" s="7" t="s">
        <v>796</v>
      </c>
      <c r="M207" s="7" t="s">
        <v>1182</v>
      </c>
      <c r="N207" s="7" t="s">
        <v>788</v>
      </c>
    </row>
    <row r="208" spans="1:14" ht="30" customHeight="1" x14ac:dyDescent="0.25">
      <c r="A208" s="6" t="s">
        <v>1183</v>
      </c>
      <c r="B208" s="6" t="s">
        <v>275</v>
      </c>
      <c r="C208" s="7" t="s">
        <v>276</v>
      </c>
      <c r="D208" s="7" t="s">
        <v>671</v>
      </c>
      <c r="E208" s="7" t="s">
        <v>672</v>
      </c>
      <c r="F208" s="7" t="s">
        <v>622</v>
      </c>
      <c r="G208" s="7" t="s">
        <v>13</v>
      </c>
      <c r="H208" s="7" t="s">
        <v>109</v>
      </c>
      <c r="I208" s="7" t="s">
        <v>48</v>
      </c>
      <c r="J208" s="7" t="s">
        <v>802</v>
      </c>
      <c r="K208" s="7" t="s">
        <v>1184</v>
      </c>
      <c r="L208" s="7" t="s">
        <v>796</v>
      </c>
      <c r="M208" s="7" t="s">
        <v>1185</v>
      </c>
      <c r="N208" s="7" t="s">
        <v>788</v>
      </c>
    </row>
    <row r="209" spans="1:14" ht="30" customHeight="1" x14ac:dyDescent="0.25">
      <c r="A209" s="6" t="s">
        <v>1186</v>
      </c>
      <c r="B209" s="6" t="s">
        <v>470</v>
      </c>
      <c r="C209" s="7" t="s">
        <v>471</v>
      </c>
      <c r="D209" s="7" t="s">
        <v>600</v>
      </c>
      <c r="E209" s="7" t="s">
        <v>601</v>
      </c>
      <c r="F209" s="7" t="s">
        <v>602</v>
      </c>
      <c r="G209" s="7" t="s">
        <v>13</v>
      </c>
      <c r="H209" s="7" t="s">
        <v>109</v>
      </c>
      <c r="I209" s="7" t="s">
        <v>66</v>
      </c>
      <c r="J209" s="7" t="s">
        <v>1140</v>
      </c>
      <c r="K209" s="7" t="s">
        <v>1187</v>
      </c>
      <c r="L209" s="7" t="s">
        <v>791</v>
      </c>
      <c r="M209" s="7" t="s">
        <v>1153</v>
      </c>
      <c r="N209" s="7" t="s">
        <v>788</v>
      </c>
    </row>
    <row r="210" spans="1:14" ht="30" customHeight="1" x14ac:dyDescent="0.25">
      <c r="A210" s="6" t="s">
        <v>1188</v>
      </c>
      <c r="B210" s="6" t="s">
        <v>475</v>
      </c>
      <c r="C210" s="7" t="s">
        <v>476</v>
      </c>
      <c r="D210" s="7" t="s">
        <v>684</v>
      </c>
      <c r="E210" s="7" t="s">
        <v>685</v>
      </c>
      <c r="F210" s="7" t="s">
        <v>667</v>
      </c>
      <c r="G210" s="7" t="s">
        <v>13</v>
      </c>
      <c r="H210" s="7" t="s">
        <v>109</v>
      </c>
      <c r="I210" s="7" t="s">
        <v>48</v>
      </c>
      <c r="J210" s="7" t="s">
        <v>802</v>
      </c>
      <c r="K210" s="7" t="s">
        <v>1189</v>
      </c>
      <c r="L210" s="7" t="s">
        <v>786</v>
      </c>
      <c r="M210" s="7" t="s">
        <v>1160</v>
      </c>
      <c r="N210" s="7" t="s">
        <v>788</v>
      </c>
    </row>
    <row r="211" spans="1:14" ht="30" customHeight="1" x14ac:dyDescent="0.25">
      <c r="A211" s="6" t="s">
        <v>1190</v>
      </c>
      <c r="B211" s="6" t="s">
        <v>482</v>
      </c>
      <c r="C211" s="7" t="s">
        <v>483</v>
      </c>
      <c r="D211" s="7" t="s">
        <v>687</v>
      </c>
      <c r="E211" s="7" t="s">
        <v>688</v>
      </c>
      <c r="F211" s="7" t="s">
        <v>682</v>
      </c>
      <c r="G211" s="7" t="s">
        <v>13</v>
      </c>
      <c r="H211" s="7" t="s">
        <v>109</v>
      </c>
      <c r="I211" s="7" t="s">
        <v>66</v>
      </c>
      <c r="J211" s="7" t="s">
        <v>802</v>
      </c>
      <c r="K211" s="7" t="s">
        <v>1191</v>
      </c>
      <c r="L211" s="7" t="s">
        <v>786</v>
      </c>
      <c r="M211" s="7" t="s">
        <v>1176</v>
      </c>
      <c r="N211" s="7" t="s">
        <v>788</v>
      </c>
    </row>
    <row r="212" spans="1:14" ht="30" customHeight="1" x14ac:dyDescent="0.25">
      <c r="A212" s="6" t="s">
        <v>1192</v>
      </c>
      <c r="B212" s="6" t="s">
        <v>487</v>
      </c>
      <c r="C212" s="7" t="s">
        <v>488</v>
      </c>
      <c r="D212" s="7" t="s">
        <v>674</v>
      </c>
      <c r="E212" s="7" t="s">
        <v>675</v>
      </c>
      <c r="F212" s="7" t="s">
        <v>667</v>
      </c>
      <c r="G212" s="7" t="s">
        <v>13</v>
      </c>
      <c r="H212" s="7" t="s">
        <v>109</v>
      </c>
      <c r="I212" s="7" t="s">
        <v>48</v>
      </c>
      <c r="J212" s="7" t="s">
        <v>1140</v>
      </c>
      <c r="K212" s="7" t="s">
        <v>1193</v>
      </c>
      <c r="L212" s="7" t="s">
        <v>791</v>
      </c>
      <c r="M212" s="7" t="s">
        <v>1194</v>
      </c>
      <c r="N212" s="7" t="s">
        <v>788</v>
      </c>
    </row>
    <row r="213" spans="1:14" ht="30" customHeight="1" x14ac:dyDescent="0.25">
      <c r="A213" s="6" t="s">
        <v>1195</v>
      </c>
      <c r="B213" s="6" t="s">
        <v>487</v>
      </c>
      <c r="C213" s="7" t="s">
        <v>488</v>
      </c>
      <c r="D213" s="7" t="s">
        <v>665</v>
      </c>
      <c r="E213" s="7" t="s">
        <v>666</v>
      </c>
      <c r="F213" s="7" t="s">
        <v>667</v>
      </c>
      <c r="G213" s="7" t="s">
        <v>13</v>
      </c>
      <c r="H213" s="7" t="s">
        <v>109</v>
      </c>
      <c r="I213" s="7" t="s">
        <v>48</v>
      </c>
      <c r="J213" s="7" t="s">
        <v>1140</v>
      </c>
      <c r="K213" s="7" t="s">
        <v>1196</v>
      </c>
      <c r="L213" s="7" t="s">
        <v>786</v>
      </c>
      <c r="M213" s="7" t="s">
        <v>1197</v>
      </c>
      <c r="N213" s="7" t="s">
        <v>788</v>
      </c>
    </row>
    <row r="214" spans="1:14" ht="30" customHeight="1" x14ac:dyDescent="0.25">
      <c r="A214" s="6" t="s">
        <v>1198</v>
      </c>
      <c r="B214" s="6" t="s">
        <v>487</v>
      </c>
      <c r="C214" s="7" t="s">
        <v>488</v>
      </c>
      <c r="D214" s="7" t="s">
        <v>600</v>
      </c>
      <c r="E214" s="7" t="s">
        <v>601</v>
      </c>
      <c r="F214" s="7" t="s">
        <v>602</v>
      </c>
      <c r="G214" s="7" t="s">
        <v>13</v>
      </c>
      <c r="H214" s="7" t="s">
        <v>109</v>
      </c>
      <c r="I214" s="7" t="s">
        <v>48</v>
      </c>
      <c r="J214" s="7" t="s">
        <v>1140</v>
      </c>
      <c r="K214" s="7" t="s">
        <v>1199</v>
      </c>
      <c r="L214" s="7" t="s">
        <v>791</v>
      </c>
      <c r="M214" s="7" t="s">
        <v>1194</v>
      </c>
      <c r="N214" s="7" t="s">
        <v>788</v>
      </c>
    </row>
    <row r="215" spans="1:14" ht="30" customHeight="1" x14ac:dyDescent="0.25">
      <c r="A215" s="6" t="s">
        <v>1200</v>
      </c>
      <c r="B215" s="6" t="s">
        <v>487</v>
      </c>
      <c r="C215" s="7" t="s">
        <v>488</v>
      </c>
      <c r="D215" s="7" t="s">
        <v>677</v>
      </c>
      <c r="E215" s="7" t="s">
        <v>678</v>
      </c>
      <c r="F215" s="7" t="s">
        <v>667</v>
      </c>
      <c r="G215" s="7" t="s">
        <v>13</v>
      </c>
      <c r="H215" s="7" t="s">
        <v>109</v>
      </c>
      <c r="I215" s="7" t="s">
        <v>48</v>
      </c>
      <c r="J215" s="7" t="s">
        <v>1140</v>
      </c>
      <c r="K215" s="7" t="s">
        <v>1201</v>
      </c>
      <c r="L215" s="7" t="s">
        <v>786</v>
      </c>
      <c r="M215" s="7" t="s">
        <v>1194</v>
      </c>
      <c r="N215" s="7" t="s">
        <v>788</v>
      </c>
    </row>
    <row r="216" spans="1:14" ht="30" customHeight="1" x14ac:dyDescent="0.25">
      <c r="A216" s="6" t="s">
        <v>1202</v>
      </c>
      <c r="B216" s="6" t="s">
        <v>491</v>
      </c>
      <c r="C216" s="7" t="s">
        <v>492</v>
      </c>
      <c r="D216" s="7" t="s">
        <v>620</v>
      </c>
      <c r="E216" s="7" t="s">
        <v>621</v>
      </c>
      <c r="F216" s="7" t="s">
        <v>622</v>
      </c>
      <c r="G216" s="7" t="s">
        <v>13</v>
      </c>
      <c r="H216" s="7" t="s">
        <v>109</v>
      </c>
      <c r="I216" s="7" t="s">
        <v>48</v>
      </c>
      <c r="J216" s="7" t="s">
        <v>802</v>
      </c>
      <c r="K216" s="7" t="s">
        <v>821</v>
      </c>
      <c r="L216" s="7" t="s">
        <v>786</v>
      </c>
      <c r="M216" s="7" t="s">
        <v>1203</v>
      </c>
      <c r="N216" s="7" t="s">
        <v>788</v>
      </c>
    </row>
    <row r="217" spans="1:14" ht="30" customHeight="1" x14ac:dyDescent="0.25">
      <c r="A217" s="6" t="s">
        <v>1204</v>
      </c>
      <c r="B217" s="6" t="s">
        <v>491</v>
      </c>
      <c r="C217" s="7" t="s">
        <v>492</v>
      </c>
      <c r="D217" s="7" t="s">
        <v>626</v>
      </c>
      <c r="E217" s="7" t="s">
        <v>627</v>
      </c>
      <c r="F217" s="7" t="s">
        <v>622</v>
      </c>
      <c r="G217" s="7" t="s">
        <v>14</v>
      </c>
      <c r="H217" s="7" t="s">
        <v>49</v>
      </c>
      <c r="I217" s="7" t="s">
        <v>48</v>
      </c>
      <c r="J217" s="7" t="s">
        <v>802</v>
      </c>
      <c r="K217" s="7" t="s">
        <v>1205</v>
      </c>
      <c r="L217" s="7" t="s">
        <v>786</v>
      </c>
      <c r="M217" s="7" t="s">
        <v>1206</v>
      </c>
      <c r="N217" s="7" t="s">
        <v>788</v>
      </c>
    </row>
    <row r="218" spans="1:14" ht="30" customHeight="1" x14ac:dyDescent="0.25">
      <c r="A218" s="6" t="s">
        <v>1207</v>
      </c>
      <c r="B218" s="6" t="s">
        <v>491</v>
      </c>
      <c r="C218" s="7" t="s">
        <v>492</v>
      </c>
      <c r="D218" s="7" t="s">
        <v>624</v>
      </c>
      <c r="E218" s="7" t="s">
        <v>622</v>
      </c>
      <c r="F218" s="7" t="s">
        <v>622</v>
      </c>
      <c r="G218" s="7" t="s">
        <v>13</v>
      </c>
      <c r="H218" s="7" t="s">
        <v>109</v>
      </c>
      <c r="I218" s="7" t="s">
        <v>48</v>
      </c>
      <c r="J218" s="7" t="s">
        <v>802</v>
      </c>
      <c r="K218" s="7" t="s">
        <v>821</v>
      </c>
      <c r="L218" s="7" t="s">
        <v>786</v>
      </c>
      <c r="M218" s="7" t="s">
        <v>1208</v>
      </c>
      <c r="N218" s="7" t="s">
        <v>788</v>
      </c>
    </row>
    <row r="219" spans="1:14" ht="30" customHeight="1" x14ac:dyDescent="0.25">
      <c r="A219" s="6" t="s">
        <v>1209</v>
      </c>
      <c r="B219" s="6" t="s">
        <v>491</v>
      </c>
      <c r="C219" s="7" t="s">
        <v>492</v>
      </c>
      <c r="D219" s="7" t="s">
        <v>669</v>
      </c>
      <c r="E219" s="7" t="s">
        <v>615</v>
      </c>
      <c r="F219" s="7" t="s">
        <v>615</v>
      </c>
      <c r="G219" s="7" t="s">
        <v>13</v>
      </c>
      <c r="H219" s="7" t="s">
        <v>109</v>
      </c>
      <c r="I219" s="7" t="s">
        <v>48</v>
      </c>
      <c r="J219" s="7" t="s">
        <v>802</v>
      </c>
      <c r="K219" s="7" t="s">
        <v>821</v>
      </c>
      <c r="L219" s="7" t="s">
        <v>786</v>
      </c>
      <c r="M219" s="7" t="s">
        <v>1210</v>
      </c>
      <c r="N219" s="7" t="s">
        <v>788</v>
      </c>
    </row>
    <row r="220" spans="1:14" ht="30" customHeight="1" x14ac:dyDescent="0.25">
      <c r="A220" s="6" t="s">
        <v>1211</v>
      </c>
      <c r="B220" s="6" t="s">
        <v>495</v>
      </c>
      <c r="C220" s="7" t="s">
        <v>496</v>
      </c>
      <c r="D220" s="7" t="s">
        <v>620</v>
      </c>
      <c r="E220" s="7" t="s">
        <v>621</v>
      </c>
      <c r="F220" s="7" t="s">
        <v>622</v>
      </c>
      <c r="G220" s="7" t="s">
        <v>14</v>
      </c>
      <c r="H220" s="7" t="s">
        <v>49</v>
      </c>
      <c r="I220" s="7" t="s">
        <v>48</v>
      </c>
      <c r="J220" s="7" t="s">
        <v>802</v>
      </c>
      <c r="K220" s="7" t="s">
        <v>1212</v>
      </c>
      <c r="L220" s="7" t="s">
        <v>791</v>
      </c>
      <c r="M220" s="7" t="s">
        <v>1213</v>
      </c>
      <c r="N220" s="7" t="s">
        <v>788</v>
      </c>
    </row>
    <row r="221" spans="1:14" ht="30" customHeight="1" x14ac:dyDescent="0.25">
      <c r="A221" s="6" t="s">
        <v>1214</v>
      </c>
      <c r="B221" s="6" t="s">
        <v>495</v>
      </c>
      <c r="C221" s="7" t="s">
        <v>496</v>
      </c>
      <c r="D221" s="7" t="s">
        <v>626</v>
      </c>
      <c r="E221" s="7" t="s">
        <v>627</v>
      </c>
      <c r="F221" s="7" t="s">
        <v>622</v>
      </c>
      <c r="G221" s="7" t="s">
        <v>14</v>
      </c>
      <c r="H221" s="7" t="s">
        <v>49</v>
      </c>
      <c r="I221" s="7" t="s">
        <v>48</v>
      </c>
      <c r="J221" s="7" t="s">
        <v>802</v>
      </c>
      <c r="K221" s="7" t="s">
        <v>1215</v>
      </c>
      <c r="L221" s="7" t="s">
        <v>791</v>
      </c>
      <c r="M221" s="7" t="s">
        <v>1216</v>
      </c>
      <c r="N221" s="7" t="s">
        <v>788</v>
      </c>
    </row>
    <row r="222" spans="1:14" ht="30" customHeight="1" x14ac:dyDescent="0.25">
      <c r="A222" s="6" t="s">
        <v>1217</v>
      </c>
      <c r="B222" s="6" t="s">
        <v>495</v>
      </c>
      <c r="C222" s="7" t="s">
        <v>496</v>
      </c>
      <c r="D222" s="7" t="s">
        <v>624</v>
      </c>
      <c r="E222" s="7" t="s">
        <v>622</v>
      </c>
      <c r="F222" s="7" t="s">
        <v>622</v>
      </c>
      <c r="G222" s="7" t="s">
        <v>14</v>
      </c>
      <c r="H222" s="7" t="s">
        <v>49</v>
      </c>
      <c r="I222" s="7" t="s">
        <v>48</v>
      </c>
      <c r="J222" s="7" t="s">
        <v>802</v>
      </c>
      <c r="K222" s="7" t="s">
        <v>1218</v>
      </c>
      <c r="L222" s="7" t="s">
        <v>791</v>
      </c>
      <c r="M222" s="7" t="s">
        <v>1219</v>
      </c>
      <c r="N222" s="7" t="s">
        <v>788</v>
      </c>
    </row>
    <row r="223" spans="1:14" ht="30" customHeight="1" x14ac:dyDescent="0.25">
      <c r="A223" s="6" t="s">
        <v>1220</v>
      </c>
      <c r="B223" s="6" t="s">
        <v>495</v>
      </c>
      <c r="C223" s="7" t="s">
        <v>496</v>
      </c>
      <c r="D223" s="7" t="s">
        <v>669</v>
      </c>
      <c r="E223" s="7" t="s">
        <v>615</v>
      </c>
      <c r="F223" s="7" t="s">
        <v>615</v>
      </c>
      <c r="G223" s="7" t="s">
        <v>14</v>
      </c>
      <c r="H223" s="7" t="s">
        <v>49</v>
      </c>
      <c r="I223" s="7" t="s">
        <v>48</v>
      </c>
      <c r="J223" s="7" t="s">
        <v>802</v>
      </c>
      <c r="K223" s="7" t="s">
        <v>1221</v>
      </c>
      <c r="L223" s="7" t="s">
        <v>791</v>
      </c>
      <c r="M223" s="7" t="s">
        <v>1222</v>
      </c>
      <c r="N223" s="7" t="s">
        <v>788</v>
      </c>
    </row>
    <row r="224" spans="1:14" ht="30" customHeight="1" x14ac:dyDescent="0.25">
      <c r="A224" s="6" t="s">
        <v>1223</v>
      </c>
      <c r="B224" s="6" t="s">
        <v>495</v>
      </c>
      <c r="C224" s="7" t="s">
        <v>496</v>
      </c>
      <c r="D224" s="7" t="s">
        <v>636</v>
      </c>
      <c r="E224" s="7" t="s">
        <v>637</v>
      </c>
      <c r="F224" s="7" t="s">
        <v>638</v>
      </c>
      <c r="G224" s="7" t="s">
        <v>13</v>
      </c>
      <c r="H224" s="7" t="s">
        <v>58</v>
      </c>
      <c r="I224" s="7" t="s">
        <v>48</v>
      </c>
      <c r="J224" s="7" t="s">
        <v>802</v>
      </c>
      <c r="K224" s="7" t="s">
        <v>821</v>
      </c>
      <c r="L224" s="7" t="s">
        <v>796</v>
      </c>
      <c r="M224" s="7" t="s">
        <v>1224</v>
      </c>
      <c r="N224" s="7" t="s">
        <v>788</v>
      </c>
    </row>
    <row r="225" spans="1:14" ht="30" customHeight="1" x14ac:dyDescent="0.25">
      <c r="A225" s="6" t="s">
        <v>1225</v>
      </c>
      <c r="B225" s="6" t="s">
        <v>500</v>
      </c>
      <c r="C225" s="7" t="s">
        <v>501</v>
      </c>
      <c r="D225" s="7" t="s">
        <v>600</v>
      </c>
      <c r="E225" s="7" t="s">
        <v>601</v>
      </c>
      <c r="F225" s="7" t="s">
        <v>602</v>
      </c>
      <c r="G225" s="7" t="s">
        <v>13</v>
      </c>
      <c r="H225" s="7" t="s">
        <v>58</v>
      </c>
      <c r="I225" s="7" t="s">
        <v>66</v>
      </c>
      <c r="J225" s="7" t="s">
        <v>1226</v>
      </c>
      <c r="K225" s="7" t="s">
        <v>821</v>
      </c>
      <c r="L225" s="7" t="s">
        <v>786</v>
      </c>
      <c r="M225" s="7" t="s">
        <v>1227</v>
      </c>
      <c r="N225" s="7" t="s">
        <v>788</v>
      </c>
    </row>
    <row r="226" spans="1:14" ht="30" customHeight="1" x14ac:dyDescent="0.25">
      <c r="A226" s="6" t="s">
        <v>1228</v>
      </c>
      <c r="B226" s="6" t="s">
        <v>500</v>
      </c>
      <c r="C226" s="7" t="s">
        <v>501</v>
      </c>
      <c r="D226" s="7" t="s">
        <v>605</v>
      </c>
      <c r="E226" s="7" t="s">
        <v>606</v>
      </c>
      <c r="F226" s="7" t="s">
        <v>607</v>
      </c>
      <c r="G226" s="7" t="s">
        <v>13</v>
      </c>
      <c r="H226" s="7" t="s">
        <v>58</v>
      </c>
      <c r="I226" s="7" t="s">
        <v>48</v>
      </c>
      <c r="J226" s="7" t="s">
        <v>1226</v>
      </c>
      <c r="K226" s="7" t="s">
        <v>821</v>
      </c>
      <c r="L226" s="7" t="s">
        <v>791</v>
      </c>
      <c r="M226" s="7" t="s">
        <v>1229</v>
      </c>
      <c r="N226" s="7" t="s">
        <v>788</v>
      </c>
    </row>
    <row r="227" spans="1:14" ht="30" customHeight="1" x14ac:dyDescent="0.25">
      <c r="A227" s="6" t="s">
        <v>1230</v>
      </c>
      <c r="B227" s="6" t="s">
        <v>500</v>
      </c>
      <c r="C227" s="7" t="s">
        <v>501</v>
      </c>
      <c r="D227" s="7" t="s">
        <v>665</v>
      </c>
      <c r="E227" s="7" t="s">
        <v>666</v>
      </c>
      <c r="F227" s="7" t="s">
        <v>667</v>
      </c>
      <c r="G227" s="7" t="s">
        <v>13</v>
      </c>
      <c r="H227" s="7" t="s">
        <v>58</v>
      </c>
      <c r="I227" s="7" t="s">
        <v>66</v>
      </c>
      <c r="J227" s="7" t="s">
        <v>1226</v>
      </c>
      <c r="K227" s="7" t="s">
        <v>821</v>
      </c>
      <c r="L227" s="7" t="s">
        <v>786</v>
      </c>
      <c r="M227" s="7" t="s">
        <v>1227</v>
      </c>
      <c r="N227" s="7" t="s">
        <v>788</v>
      </c>
    </row>
    <row r="228" spans="1:14" ht="30" customHeight="1" x14ac:dyDescent="0.25">
      <c r="A228" s="6" t="s">
        <v>1231</v>
      </c>
      <c r="B228" s="6" t="s">
        <v>500</v>
      </c>
      <c r="C228" s="7" t="s">
        <v>501</v>
      </c>
      <c r="D228" s="7" t="s">
        <v>624</v>
      </c>
      <c r="E228" s="7" t="s">
        <v>622</v>
      </c>
      <c r="F228" s="7" t="s">
        <v>622</v>
      </c>
      <c r="G228" s="7" t="s">
        <v>14</v>
      </c>
      <c r="H228" s="7" t="s">
        <v>49</v>
      </c>
      <c r="I228" s="7" t="s">
        <v>48</v>
      </c>
      <c r="J228" s="7" t="s">
        <v>1226</v>
      </c>
      <c r="K228" s="7" t="s">
        <v>1232</v>
      </c>
      <c r="L228" s="7" t="s">
        <v>786</v>
      </c>
      <c r="M228" s="7" t="s">
        <v>1229</v>
      </c>
      <c r="N228" s="7" t="s">
        <v>788</v>
      </c>
    </row>
    <row r="229" spans="1:14" ht="30" customHeight="1" x14ac:dyDescent="0.25">
      <c r="A229" s="6" t="s">
        <v>1233</v>
      </c>
      <c r="B229" s="6" t="s">
        <v>500</v>
      </c>
      <c r="C229" s="7" t="s">
        <v>501</v>
      </c>
      <c r="D229" s="7" t="s">
        <v>687</v>
      </c>
      <c r="E229" s="7" t="s">
        <v>688</v>
      </c>
      <c r="F229" s="7" t="s">
        <v>682</v>
      </c>
      <c r="G229" s="7" t="s">
        <v>13</v>
      </c>
      <c r="H229" s="7" t="s">
        <v>58</v>
      </c>
      <c r="I229" s="7" t="s">
        <v>48</v>
      </c>
      <c r="J229" s="7" t="s">
        <v>1226</v>
      </c>
      <c r="K229" s="7" t="s">
        <v>821</v>
      </c>
      <c r="L229" s="7" t="s">
        <v>786</v>
      </c>
      <c r="M229" s="7" t="s">
        <v>1234</v>
      </c>
      <c r="N229" s="7" t="s">
        <v>788</v>
      </c>
    </row>
    <row r="230" spans="1:14" ht="30" customHeight="1" x14ac:dyDescent="0.25">
      <c r="A230" s="6" t="s">
        <v>1235</v>
      </c>
      <c r="B230" s="6" t="s">
        <v>505</v>
      </c>
      <c r="C230" s="7" t="s">
        <v>506</v>
      </c>
      <c r="D230" s="7" t="s">
        <v>674</v>
      </c>
      <c r="E230" s="7" t="s">
        <v>675</v>
      </c>
      <c r="F230" s="7" t="s">
        <v>667</v>
      </c>
      <c r="G230" s="7" t="s">
        <v>13</v>
      </c>
      <c r="H230" s="7" t="s">
        <v>109</v>
      </c>
      <c r="I230" s="7" t="s">
        <v>48</v>
      </c>
      <c r="J230" s="7" t="s">
        <v>1140</v>
      </c>
      <c r="K230" s="7" t="s">
        <v>821</v>
      </c>
      <c r="L230" s="7" t="s">
        <v>786</v>
      </c>
      <c r="M230" s="7" t="s">
        <v>1236</v>
      </c>
      <c r="N230" s="7" t="s">
        <v>788</v>
      </c>
    </row>
    <row r="231" spans="1:14" ht="30" customHeight="1" x14ac:dyDescent="0.25">
      <c r="A231" s="6" t="s">
        <v>1237</v>
      </c>
      <c r="B231" s="6" t="s">
        <v>505</v>
      </c>
      <c r="C231" s="7" t="s">
        <v>506</v>
      </c>
      <c r="D231" s="7" t="s">
        <v>677</v>
      </c>
      <c r="E231" s="7" t="s">
        <v>678</v>
      </c>
      <c r="F231" s="7" t="s">
        <v>667</v>
      </c>
      <c r="G231" s="7" t="s">
        <v>14</v>
      </c>
      <c r="H231" s="7" t="s">
        <v>49</v>
      </c>
      <c r="I231" s="7" t="s">
        <v>48</v>
      </c>
      <c r="J231" s="7" t="s">
        <v>1140</v>
      </c>
      <c r="K231" s="7" t="s">
        <v>1238</v>
      </c>
      <c r="L231" s="7" t="s">
        <v>791</v>
      </c>
      <c r="M231" s="7" t="s">
        <v>1239</v>
      </c>
      <c r="N231" s="7" t="s">
        <v>788</v>
      </c>
    </row>
    <row r="232" spans="1:14" ht="30" customHeight="1" x14ac:dyDescent="0.25">
      <c r="A232" s="6" t="s">
        <v>1240</v>
      </c>
      <c r="B232" s="6" t="s">
        <v>505</v>
      </c>
      <c r="C232" s="7" t="s">
        <v>506</v>
      </c>
      <c r="D232" s="7" t="s">
        <v>665</v>
      </c>
      <c r="E232" s="7" t="s">
        <v>666</v>
      </c>
      <c r="F232" s="7" t="s">
        <v>667</v>
      </c>
      <c r="G232" s="7" t="s">
        <v>14</v>
      </c>
      <c r="H232" s="7" t="s">
        <v>49</v>
      </c>
      <c r="I232" s="7" t="s">
        <v>48</v>
      </c>
      <c r="J232" s="7" t="s">
        <v>1140</v>
      </c>
      <c r="K232" s="7" t="s">
        <v>1241</v>
      </c>
      <c r="L232" s="7" t="s">
        <v>791</v>
      </c>
      <c r="M232" s="7" t="s">
        <v>1239</v>
      </c>
      <c r="N232" s="7" t="s">
        <v>788</v>
      </c>
    </row>
    <row r="233" spans="1:14" ht="30" customHeight="1" x14ac:dyDescent="0.25">
      <c r="A233" s="6" t="s">
        <v>1242</v>
      </c>
      <c r="B233" s="6" t="s">
        <v>505</v>
      </c>
      <c r="C233" s="7" t="s">
        <v>506</v>
      </c>
      <c r="D233" s="7" t="s">
        <v>600</v>
      </c>
      <c r="E233" s="7" t="s">
        <v>601</v>
      </c>
      <c r="F233" s="7" t="s">
        <v>602</v>
      </c>
      <c r="G233" s="7" t="s">
        <v>13</v>
      </c>
      <c r="H233" s="7" t="s">
        <v>109</v>
      </c>
      <c r="I233" s="7" t="s">
        <v>48</v>
      </c>
      <c r="J233" s="7" t="s">
        <v>1140</v>
      </c>
      <c r="K233" s="7" t="s">
        <v>821</v>
      </c>
      <c r="L233" s="7" t="s">
        <v>786</v>
      </c>
      <c r="M233" s="7" t="s">
        <v>1243</v>
      </c>
      <c r="N233" s="7" t="s">
        <v>788</v>
      </c>
    </row>
    <row r="234" spans="1:14" ht="30" customHeight="1" x14ac:dyDescent="0.25">
      <c r="A234" s="6" t="s">
        <v>1244</v>
      </c>
      <c r="B234" s="6" t="s">
        <v>505</v>
      </c>
      <c r="C234" s="7" t="s">
        <v>506</v>
      </c>
      <c r="D234" s="7" t="s">
        <v>633</v>
      </c>
      <c r="E234" s="7" t="s">
        <v>634</v>
      </c>
      <c r="F234" s="7" t="s">
        <v>631</v>
      </c>
      <c r="G234" s="7" t="s">
        <v>13</v>
      </c>
      <c r="H234" s="7" t="s">
        <v>109</v>
      </c>
      <c r="I234" s="7" t="s">
        <v>66</v>
      </c>
      <c r="J234" s="7" t="s">
        <v>1140</v>
      </c>
      <c r="K234" s="7" t="s">
        <v>821</v>
      </c>
      <c r="L234" s="7" t="s">
        <v>796</v>
      </c>
      <c r="M234" s="7" t="s">
        <v>1245</v>
      </c>
      <c r="N234" s="7" t="s">
        <v>788</v>
      </c>
    </row>
    <row r="235" spans="1:14" ht="30" customHeight="1" x14ac:dyDescent="0.25">
      <c r="A235" s="6" t="s">
        <v>1246</v>
      </c>
      <c r="B235" s="6" t="s">
        <v>371</v>
      </c>
      <c r="C235" s="7" t="s">
        <v>372</v>
      </c>
      <c r="D235" s="7" t="s">
        <v>613</v>
      </c>
      <c r="E235" s="7" t="s">
        <v>614</v>
      </c>
      <c r="F235" s="7" t="s">
        <v>615</v>
      </c>
      <c r="G235" s="7" t="s">
        <v>13</v>
      </c>
      <c r="H235" s="7" t="s">
        <v>109</v>
      </c>
      <c r="I235" s="7" t="s">
        <v>48</v>
      </c>
      <c r="J235" s="7" t="s">
        <v>802</v>
      </c>
      <c r="K235" s="7" t="s">
        <v>821</v>
      </c>
      <c r="L235" s="7" t="s">
        <v>796</v>
      </c>
      <c r="M235" s="7" t="s">
        <v>1247</v>
      </c>
      <c r="N235" s="7" t="s">
        <v>788</v>
      </c>
    </row>
    <row r="236" spans="1:14" ht="30" customHeight="1" x14ac:dyDescent="0.25">
      <c r="A236" s="6" t="s">
        <v>1248</v>
      </c>
      <c r="B236" s="6" t="s">
        <v>371</v>
      </c>
      <c r="C236" s="7" t="s">
        <v>372</v>
      </c>
      <c r="D236" s="7" t="s">
        <v>636</v>
      </c>
      <c r="E236" s="7" t="s">
        <v>637</v>
      </c>
      <c r="F236" s="7" t="s">
        <v>638</v>
      </c>
      <c r="G236" s="7" t="s">
        <v>13</v>
      </c>
      <c r="H236" s="7" t="s">
        <v>109</v>
      </c>
      <c r="I236" s="7" t="s">
        <v>48</v>
      </c>
      <c r="J236" s="7" t="s">
        <v>802</v>
      </c>
      <c r="K236" s="7" t="s">
        <v>821</v>
      </c>
      <c r="L236" s="7" t="s">
        <v>796</v>
      </c>
      <c r="M236" s="7" t="s">
        <v>1247</v>
      </c>
      <c r="N236" s="7" t="s">
        <v>788</v>
      </c>
    </row>
    <row r="237" spans="1:14" ht="30" customHeight="1" x14ac:dyDescent="0.25">
      <c r="A237" s="6" t="s">
        <v>1249</v>
      </c>
      <c r="B237" s="6" t="s">
        <v>371</v>
      </c>
      <c r="C237" s="7" t="s">
        <v>372</v>
      </c>
      <c r="D237" s="7" t="s">
        <v>609</v>
      </c>
      <c r="E237" s="7" t="s">
        <v>610</v>
      </c>
      <c r="F237" s="7" t="s">
        <v>611</v>
      </c>
      <c r="G237" s="7" t="s">
        <v>13</v>
      </c>
      <c r="H237" s="7" t="s">
        <v>109</v>
      </c>
      <c r="I237" s="7" t="s">
        <v>48</v>
      </c>
      <c r="J237" s="7" t="s">
        <v>802</v>
      </c>
      <c r="K237" s="7" t="s">
        <v>821</v>
      </c>
      <c r="L237" s="7" t="s">
        <v>796</v>
      </c>
      <c r="M237" s="7" t="s">
        <v>1250</v>
      </c>
      <c r="N237" s="7" t="s">
        <v>788</v>
      </c>
    </row>
    <row r="238" spans="1:14" ht="30" customHeight="1" x14ac:dyDescent="0.25">
      <c r="A238" s="6" t="s">
        <v>1251</v>
      </c>
      <c r="B238" s="6" t="s">
        <v>375</v>
      </c>
      <c r="C238" s="7" t="s">
        <v>376</v>
      </c>
      <c r="D238" s="7" t="s">
        <v>613</v>
      </c>
      <c r="E238" s="7" t="s">
        <v>614</v>
      </c>
      <c r="F238" s="7" t="s">
        <v>615</v>
      </c>
      <c r="G238" s="7" t="s">
        <v>13</v>
      </c>
      <c r="H238" s="7" t="s">
        <v>109</v>
      </c>
      <c r="I238" s="7" t="s">
        <v>48</v>
      </c>
      <c r="J238" s="7" t="s">
        <v>784</v>
      </c>
      <c r="K238" s="7" t="s">
        <v>821</v>
      </c>
      <c r="L238" s="7" t="s">
        <v>796</v>
      </c>
      <c r="M238" s="7" t="s">
        <v>1252</v>
      </c>
      <c r="N238" s="7" t="s">
        <v>788</v>
      </c>
    </row>
    <row r="239" spans="1:14" ht="30" customHeight="1" x14ac:dyDescent="0.25">
      <c r="A239" s="6" t="s">
        <v>1253</v>
      </c>
      <c r="B239" s="6" t="s">
        <v>375</v>
      </c>
      <c r="C239" s="7" t="s">
        <v>376</v>
      </c>
      <c r="D239" s="7" t="s">
        <v>636</v>
      </c>
      <c r="E239" s="7" t="s">
        <v>637</v>
      </c>
      <c r="F239" s="7" t="s">
        <v>638</v>
      </c>
      <c r="G239" s="7" t="s">
        <v>13</v>
      </c>
      <c r="H239" s="7" t="s">
        <v>109</v>
      </c>
      <c r="I239" s="7" t="s">
        <v>48</v>
      </c>
      <c r="J239" s="7" t="s">
        <v>784</v>
      </c>
      <c r="K239" s="7" t="s">
        <v>821</v>
      </c>
      <c r="L239" s="7" t="s">
        <v>796</v>
      </c>
      <c r="M239" s="7" t="s">
        <v>1252</v>
      </c>
      <c r="N239" s="7" t="s">
        <v>788</v>
      </c>
    </row>
    <row r="240" spans="1:14" ht="30" customHeight="1" x14ac:dyDescent="0.25">
      <c r="A240" s="6" t="s">
        <v>1254</v>
      </c>
      <c r="B240" s="6" t="s">
        <v>375</v>
      </c>
      <c r="C240" s="7" t="s">
        <v>376</v>
      </c>
      <c r="D240" s="7" t="s">
        <v>640</v>
      </c>
      <c r="E240" s="7" t="s">
        <v>641</v>
      </c>
      <c r="F240" s="7" t="s">
        <v>642</v>
      </c>
      <c r="G240" s="7" t="s">
        <v>13</v>
      </c>
      <c r="H240" s="7" t="s">
        <v>109</v>
      </c>
      <c r="I240" s="7" t="s">
        <v>48</v>
      </c>
      <c r="J240" s="7" t="s">
        <v>784</v>
      </c>
      <c r="K240" s="7" t="s">
        <v>821</v>
      </c>
      <c r="L240" s="7" t="s">
        <v>796</v>
      </c>
      <c r="M240" s="7" t="s">
        <v>1255</v>
      </c>
      <c r="N240" s="7" t="s">
        <v>788</v>
      </c>
    </row>
    <row r="241" spans="1:14" ht="30" customHeight="1" x14ac:dyDescent="0.25">
      <c r="A241" s="6" t="s">
        <v>1256</v>
      </c>
      <c r="B241" s="6" t="s">
        <v>375</v>
      </c>
      <c r="C241" s="7" t="s">
        <v>376</v>
      </c>
      <c r="D241" s="7" t="s">
        <v>617</v>
      </c>
      <c r="E241" s="7" t="s">
        <v>618</v>
      </c>
      <c r="F241" s="7" t="s">
        <v>615</v>
      </c>
      <c r="G241" s="7" t="s">
        <v>13</v>
      </c>
      <c r="H241" s="7" t="s">
        <v>109</v>
      </c>
      <c r="I241" s="7" t="s">
        <v>48</v>
      </c>
      <c r="J241" s="7" t="s">
        <v>784</v>
      </c>
      <c r="K241" s="7" t="s">
        <v>821</v>
      </c>
      <c r="L241" s="7" t="s">
        <v>796</v>
      </c>
      <c r="M241" s="7" t="s">
        <v>1257</v>
      </c>
      <c r="N241" s="7" t="s">
        <v>788</v>
      </c>
    </row>
    <row r="242" spans="1:14" ht="30" customHeight="1" x14ac:dyDescent="0.25">
      <c r="A242" s="6" t="s">
        <v>1258</v>
      </c>
      <c r="B242" s="6" t="s">
        <v>379</v>
      </c>
      <c r="C242" s="7" t="s">
        <v>380</v>
      </c>
      <c r="D242" s="7" t="s">
        <v>665</v>
      </c>
      <c r="E242" s="7" t="s">
        <v>666</v>
      </c>
      <c r="F242" s="7" t="s">
        <v>667</v>
      </c>
      <c r="G242" s="7" t="s">
        <v>13</v>
      </c>
      <c r="H242" s="7" t="s">
        <v>109</v>
      </c>
      <c r="I242" s="7" t="s">
        <v>48</v>
      </c>
      <c r="J242" s="7" t="s">
        <v>802</v>
      </c>
      <c r="K242" s="7" t="s">
        <v>821</v>
      </c>
      <c r="L242" s="7" t="s">
        <v>786</v>
      </c>
      <c r="M242" s="7" t="s">
        <v>1259</v>
      </c>
      <c r="N242" s="7" t="s">
        <v>788</v>
      </c>
    </row>
    <row r="243" spans="1:14" ht="30" customHeight="1" x14ac:dyDescent="0.25">
      <c r="A243" s="6" t="s">
        <v>1260</v>
      </c>
      <c r="B243" s="6" t="s">
        <v>379</v>
      </c>
      <c r="C243" s="7" t="s">
        <v>380</v>
      </c>
      <c r="D243" s="7" t="s">
        <v>684</v>
      </c>
      <c r="E243" s="7" t="s">
        <v>685</v>
      </c>
      <c r="F243" s="7" t="s">
        <v>667</v>
      </c>
      <c r="G243" s="7" t="s">
        <v>13</v>
      </c>
      <c r="H243" s="7" t="s">
        <v>109</v>
      </c>
      <c r="I243" s="7" t="s">
        <v>48</v>
      </c>
      <c r="J243" s="7" t="s">
        <v>802</v>
      </c>
      <c r="K243" s="7" t="s">
        <v>821</v>
      </c>
      <c r="L243" s="7" t="s">
        <v>786</v>
      </c>
      <c r="M243" s="7" t="s">
        <v>1259</v>
      </c>
      <c r="N243" s="7" t="s">
        <v>788</v>
      </c>
    </row>
    <row r="244" spans="1:14" ht="30" customHeight="1" x14ac:dyDescent="0.25">
      <c r="A244" s="6" t="s">
        <v>1261</v>
      </c>
      <c r="B244" s="6" t="s">
        <v>379</v>
      </c>
      <c r="C244" s="7" t="s">
        <v>380</v>
      </c>
      <c r="D244" s="7" t="s">
        <v>653</v>
      </c>
      <c r="E244" s="7" t="s">
        <v>654</v>
      </c>
      <c r="F244" s="7" t="s">
        <v>646</v>
      </c>
      <c r="G244" s="7" t="s">
        <v>13</v>
      </c>
      <c r="H244" s="7" t="s">
        <v>109</v>
      </c>
      <c r="I244" s="7" t="s">
        <v>48</v>
      </c>
      <c r="J244" s="7" t="s">
        <v>802</v>
      </c>
      <c r="K244" s="7" t="s">
        <v>821</v>
      </c>
      <c r="L244" s="7" t="s">
        <v>786</v>
      </c>
      <c r="M244" s="7" t="s">
        <v>1259</v>
      </c>
      <c r="N244" s="7" t="s">
        <v>788</v>
      </c>
    </row>
    <row r="245" spans="1:14" ht="30" customHeight="1" x14ac:dyDescent="0.25">
      <c r="A245" s="6" t="s">
        <v>1262</v>
      </c>
      <c r="B245" s="6" t="s">
        <v>385</v>
      </c>
      <c r="C245" s="7" t="s">
        <v>386</v>
      </c>
      <c r="D245" s="7" t="s">
        <v>665</v>
      </c>
      <c r="E245" s="7" t="s">
        <v>666</v>
      </c>
      <c r="F245" s="7" t="s">
        <v>667</v>
      </c>
      <c r="G245" s="7" t="s">
        <v>13</v>
      </c>
      <c r="H245" s="7" t="s">
        <v>109</v>
      </c>
      <c r="I245" s="7" t="s">
        <v>48</v>
      </c>
      <c r="J245" s="7" t="s">
        <v>802</v>
      </c>
      <c r="K245" s="7" t="s">
        <v>821</v>
      </c>
      <c r="L245" s="7" t="s">
        <v>786</v>
      </c>
      <c r="M245" s="7" t="s">
        <v>1263</v>
      </c>
      <c r="N245" s="7" t="s">
        <v>788</v>
      </c>
    </row>
    <row r="246" spans="1:14" ht="30" customHeight="1" x14ac:dyDescent="0.25">
      <c r="A246" s="6" t="s">
        <v>1264</v>
      </c>
      <c r="B246" s="6" t="s">
        <v>385</v>
      </c>
      <c r="C246" s="7" t="s">
        <v>386</v>
      </c>
      <c r="D246" s="7" t="s">
        <v>653</v>
      </c>
      <c r="E246" s="7" t="s">
        <v>654</v>
      </c>
      <c r="F246" s="7" t="s">
        <v>646</v>
      </c>
      <c r="G246" s="7" t="s">
        <v>13</v>
      </c>
      <c r="H246" s="7" t="s">
        <v>109</v>
      </c>
      <c r="I246" s="7" t="s">
        <v>48</v>
      </c>
      <c r="J246" s="7" t="s">
        <v>802</v>
      </c>
      <c r="K246" s="7" t="s">
        <v>821</v>
      </c>
      <c r="L246" s="7" t="s">
        <v>796</v>
      </c>
      <c r="M246" s="7" t="s">
        <v>1265</v>
      </c>
      <c r="N246" s="7" t="s">
        <v>788</v>
      </c>
    </row>
    <row r="247" spans="1:14" ht="30" customHeight="1" x14ac:dyDescent="0.25">
      <c r="A247" s="6" t="s">
        <v>1266</v>
      </c>
      <c r="B247" s="6" t="s">
        <v>390</v>
      </c>
      <c r="C247" s="7" t="s">
        <v>391</v>
      </c>
      <c r="D247" s="7" t="s">
        <v>665</v>
      </c>
      <c r="E247" s="7" t="s">
        <v>666</v>
      </c>
      <c r="F247" s="7" t="s">
        <v>667</v>
      </c>
      <c r="G247" s="7" t="s">
        <v>13</v>
      </c>
      <c r="H247" s="7" t="s">
        <v>109</v>
      </c>
      <c r="I247" s="7" t="s">
        <v>48</v>
      </c>
      <c r="J247" s="7" t="s">
        <v>1226</v>
      </c>
      <c r="K247" s="7" t="s">
        <v>821</v>
      </c>
      <c r="L247" s="7" t="s">
        <v>786</v>
      </c>
      <c r="M247" s="7" t="s">
        <v>395</v>
      </c>
      <c r="N247" s="7" t="s">
        <v>788</v>
      </c>
    </row>
    <row r="248" spans="1:14" ht="30" customHeight="1" x14ac:dyDescent="0.25">
      <c r="A248" s="6" t="s">
        <v>1267</v>
      </c>
      <c r="B248" s="6" t="s">
        <v>390</v>
      </c>
      <c r="C248" s="7" t="s">
        <v>391</v>
      </c>
      <c r="D248" s="7" t="s">
        <v>684</v>
      </c>
      <c r="E248" s="7" t="s">
        <v>685</v>
      </c>
      <c r="F248" s="7" t="s">
        <v>667</v>
      </c>
      <c r="G248" s="7" t="s">
        <v>13</v>
      </c>
      <c r="H248" s="7" t="s">
        <v>109</v>
      </c>
      <c r="I248" s="7" t="s">
        <v>48</v>
      </c>
      <c r="J248" s="7" t="s">
        <v>1226</v>
      </c>
      <c r="K248" s="7" t="s">
        <v>821</v>
      </c>
      <c r="L248" s="7" t="s">
        <v>786</v>
      </c>
      <c r="M248" s="7" t="s">
        <v>395</v>
      </c>
      <c r="N248" s="7" t="s">
        <v>788</v>
      </c>
    </row>
    <row r="249" spans="1:14" ht="30" customHeight="1" x14ac:dyDescent="0.25">
      <c r="A249" s="6" t="s">
        <v>1268</v>
      </c>
      <c r="B249" s="6" t="s">
        <v>396</v>
      </c>
      <c r="C249" s="7" t="s">
        <v>397</v>
      </c>
      <c r="D249" s="7" t="s">
        <v>665</v>
      </c>
      <c r="E249" s="7" t="s">
        <v>666</v>
      </c>
      <c r="F249" s="7" t="s">
        <v>667</v>
      </c>
      <c r="G249" s="7" t="s">
        <v>13</v>
      </c>
      <c r="H249" s="7" t="s">
        <v>109</v>
      </c>
      <c r="I249" s="7" t="s">
        <v>48</v>
      </c>
      <c r="J249" s="7" t="s">
        <v>1226</v>
      </c>
      <c r="K249" s="7" t="s">
        <v>821</v>
      </c>
      <c r="L249" s="7" t="s">
        <v>786</v>
      </c>
      <c r="M249" s="7" t="s">
        <v>399</v>
      </c>
      <c r="N249" s="7" t="s">
        <v>788</v>
      </c>
    </row>
    <row r="250" spans="1:14" ht="30" customHeight="1" x14ac:dyDescent="0.25">
      <c r="A250" s="6" t="s">
        <v>1269</v>
      </c>
      <c r="B250" s="6" t="s">
        <v>396</v>
      </c>
      <c r="C250" s="7" t="s">
        <v>397</v>
      </c>
      <c r="D250" s="7" t="s">
        <v>600</v>
      </c>
      <c r="E250" s="7" t="s">
        <v>601</v>
      </c>
      <c r="F250" s="7" t="s">
        <v>602</v>
      </c>
      <c r="G250" s="7" t="s">
        <v>13</v>
      </c>
      <c r="H250" s="7" t="s">
        <v>109</v>
      </c>
      <c r="I250" s="7" t="s">
        <v>48</v>
      </c>
      <c r="J250" s="7" t="s">
        <v>1226</v>
      </c>
      <c r="K250" s="7" t="s">
        <v>821</v>
      </c>
      <c r="L250" s="7" t="s">
        <v>791</v>
      </c>
      <c r="M250" s="7" t="s">
        <v>399</v>
      </c>
      <c r="N250" s="7" t="s">
        <v>788</v>
      </c>
    </row>
    <row r="251" spans="1:14" ht="30" customHeight="1" x14ac:dyDescent="0.25">
      <c r="A251" s="6" t="s">
        <v>1270</v>
      </c>
      <c r="B251" s="6" t="s">
        <v>400</v>
      </c>
      <c r="C251" s="7" t="s">
        <v>401</v>
      </c>
      <c r="D251" s="7" t="s">
        <v>677</v>
      </c>
      <c r="E251" s="7" t="s">
        <v>678</v>
      </c>
      <c r="F251" s="7" t="s">
        <v>667</v>
      </c>
      <c r="G251" s="7" t="s">
        <v>13</v>
      </c>
      <c r="H251" s="7" t="s">
        <v>109</v>
      </c>
      <c r="I251" s="7" t="s">
        <v>48</v>
      </c>
      <c r="J251" s="7" t="s">
        <v>1226</v>
      </c>
      <c r="K251" s="7" t="s">
        <v>821</v>
      </c>
      <c r="L251" s="7" t="s">
        <v>791</v>
      </c>
      <c r="M251" s="7" t="s">
        <v>1271</v>
      </c>
      <c r="N251" s="7" t="s">
        <v>788</v>
      </c>
    </row>
    <row r="252" spans="1:14" ht="30" customHeight="1" x14ac:dyDescent="0.25">
      <c r="A252" s="6" t="s">
        <v>1272</v>
      </c>
      <c r="B252" s="6" t="s">
        <v>400</v>
      </c>
      <c r="C252" s="7" t="s">
        <v>401</v>
      </c>
      <c r="D252" s="7" t="s">
        <v>624</v>
      </c>
      <c r="E252" s="7" t="s">
        <v>622</v>
      </c>
      <c r="F252" s="7" t="s">
        <v>622</v>
      </c>
      <c r="G252" s="7" t="s">
        <v>13</v>
      </c>
      <c r="H252" s="7" t="s">
        <v>109</v>
      </c>
      <c r="I252" s="7" t="s">
        <v>48</v>
      </c>
      <c r="J252" s="7" t="s">
        <v>1226</v>
      </c>
      <c r="K252" s="7" t="s">
        <v>821</v>
      </c>
      <c r="L252" s="7" t="s">
        <v>791</v>
      </c>
      <c r="M252" s="7" t="s">
        <v>1273</v>
      </c>
      <c r="N252" s="7" t="s">
        <v>788</v>
      </c>
    </row>
    <row r="253" spans="1:14" ht="30" customHeight="1" x14ac:dyDescent="0.25">
      <c r="A253" s="6" t="s">
        <v>1274</v>
      </c>
      <c r="B253" s="6" t="s">
        <v>400</v>
      </c>
      <c r="C253" s="7" t="s">
        <v>401</v>
      </c>
      <c r="D253" s="7" t="s">
        <v>600</v>
      </c>
      <c r="E253" s="7" t="s">
        <v>601</v>
      </c>
      <c r="F253" s="7" t="s">
        <v>602</v>
      </c>
      <c r="G253" s="7" t="s">
        <v>13</v>
      </c>
      <c r="H253" s="7" t="s">
        <v>109</v>
      </c>
      <c r="I253" s="7" t="s">
        <v>48</v>
      </c>
      <c r="J253" s="7" t="s">
        <v>1226</v>
      </c>
      <c r="K253" s="7" t="s">
        <v>821</v>
      </c>
      <c r="L253" s="7" t="s">
        <v>786</v>
      </c>
      <c r="M253" s="7" t="s">
        <v>1275</v>
      </c>
      <c r="N253" s="7" t="s">
        <v>788</v>
      </c>
    </row>
    <row r="254" spans="1:14" ht="30" customHeight="1" x14ac:dyDescent="0.25">
      <c r="A254" s="6" t="s">
        <v>1276</v>
      </c>
      <c r="B254" s="6" t="s">
        <v>400</v>
      </c>
      <c r="C254" s="7" t="s">
        <v>401</v>
      </c>
      <c r="D254" s="7" t="s">
        <v>609</v>
      </c>
      <c r="E254" s="7" t="s">
        <v>610</v>
      </c>
      <c r="F254" s="7" t="s">
        <v>611</v>
      </c>
      <c r="G254" s="7" t="s">
        <v>13</v>
      </c>
      <c r="H254" s="7" t="s">
        <v>109</v>
      </c>
      <c r="I254" s="7" t="s">
        <v>48</v>
      </c>
      <c r="J254" s="7" t="s">
        <v>1226</v>
      </c>
      <c r="K254" s="7" t="s">
        <v>821</v>
      </c>
      <c r="L254" s="7" t="s">
        <v>786</v>
      </c>
      <c r="M254" s="7" t="s">
        <v>1275</v>
      </c>
      <c r="N254" s="7" t="s">
        <v>788</v>
      </c>
    </row>
    <row r="255" spans="1:14" ht="30" customHeight="1" x14ac:dyDescent="0.25">
      <c r="A255" s="6" t="s">
        <v>1277</v>
      </c>
      <c r="B255" s="6" t="s">
        <v>400</v>
      </c>
      <c r="C255" s="7" t="s">
        <v>401</v>
      </c>
      <c r="D255" s="7" t="s">
        <v>665</v>
      </c>
      <c r="E255" s="7" t="s">
        <v>666</v>
      </c>
      <c r="F255" s="7" t="s">
        <v>667</v>
      </c>
      <c r="G255" s="7" t="s">
        <v>13</v>
      </c>
      <c r="H255" s="7" t="s">
        <v>109</v>
      </c>
      <c r="I255" s="7" t="s">
        <v>48</v>
      </c>
      <c r="J255" s="7" t="s">
        <v>1226</v>
      </c>
      <c r="K255" s="7" t="s">
        <v>821</v>
      </c>
      <c r="L255" s="7" t="s">
        <v>786</v>
      </c>
      <c r="M255" s="7" t="s">
        <v>1278</v>
      </c>
      <c r="N255" s="7" t="s">
        <v>788</v>
      </c>
    </row>
    <row r="256" spans="1:14" ht="30" customHeight="1" x14ac:dyDescent="0.25">
      <c r="A256" s="6" t="s">
        <v>1279</v>
      </c>
      <c r="B256" s="6" t="s">
        <v>405</v>
      </c>
      <c r="C256" s="7" t="s">
        <v>406</v>
      </c>
      <c r="D256" s="7" t="s">
        <v>600</v>
      </c>
      <c r="E256" s="7" t="s">
        <v>601</v>
      </c>
      <c r="F256" s="7" t="s">
        <v>602</v>
      </c>
      <c r="G256" s="7" t="s">
        <v>13</v>
      </c>
      <c r="H256" s="7" t="s">
        <v>109</v>
      </c>
      <c r="I256" s="7" t="s">
        <v>48</v>
      </c>
      <c r="J256" s="7" t="s">
        <v>1226</v>
      </c>
      <c r="K256" s="7" t="s">
        <v>821</v>
      </c>
      <c r="L256" s="7" t="s">
        <v>786</v>
      </c>
      <c r="M256" s="7" t="s">
        <v>408</v>
      </c>
      <c r="N256" s="7" t="s">
        <v>788</v>
      </c>
    </row>
    <row r="257" spans="1:14" ht="30" customHeight="1" x14ac:dyDescent="0.25">
      <c r="A257" s="6" t="s">
        <v>1280</v>
      </c>
      <c r="B257" s="6" t="s">
        <v>405</v>
      </c>
      <c r="C257" s="7" t="s">
        <v>406</v>
      </c>
      <c r="D257" s="7" t="s">
        <v>665</v>
      </c>
      <c r="E257" s="7" t="s">
        <v>666</v>
      </c>
      <c r="F257" s="7" t="s">
        <v>667</v>
      </c>
      <c r="G257" s="7" t="s">
        <v>13</v>
      </c>
      <c r="H257" s="7" t="s">
        <v>109</v>
      </c>
      <c r="I257" s="7" t="s">
        <v>48</v>
      </c>
      <c r="J257" s="7" t="s">
        <v>1226</v>
      </c>
      <c r="K257" s="7" t="s">
        <v>821</v>
      </c>
      <c r="L257" s="7" t="s">
        <v>786</v>
      </c>
      <c r="M257" s="7" t="s">
        <v>408</v>
      </c>
      <c r="N257" s="7" t="s">
        <v>788</v>
      </c>
    </row>
    <row r="258" spans="1:14" ht="30" customHeight="1" x14ac:dyDescent="0.25">
      <c r="A258" s="6" t="s">
        <v>1281</v>
      </c>
      <c r="B258" s="6" t="s">
        <v>405</v>
      </c>
      <c r="C258" s="7" t="s">
        <v>406</v>
      </c>
      <c r="D258" s="7" t="s">
        <v>684</v>
      </c>
      <c r="E258" s="7" t="s">
        <v>685</v>
      </c>
      <c r="F258" s="7" t="s">
        <v>667</v>
      </c>
      <c r="G258" s="7" t="s">
        <v>13</v>
      </c>
      <c r="H258" s="7" t="s">
        <v>109</v>
      </c>
      <c r="I258" s="7" t="s">
        <v>48</v>
      </c>
      <c r="J258" s="7" t="s">
        <v>1226</v>
      </c>
      <c r="K258" s="7" t="s">
        <v>821</v>
      </c>
      <c r="L258" s="7" t="s">
        <v>786</v>
      </c>
      <c r="M258" s="7" t="s">
        <v>408</v>
      </c>
      <c r="N258" s="7" t="s">
        <v>788</v>
      </c>
    </row>
    <row r="259" spans="1:14" ht="30" customHeight="1" x14ac:dyDescent="0.25">
      <c r="A259" s="6" t="s">
        <v>1282</v>
      </c>
      <c r="B259" s="6" t="s">
        <v>409</v>
      </c>
      <c r="C259" s="7" t="s">
        <v>410</v>
      </c>
      <c r="D259" s="7" t="s">
        <v>609</v>
      </c>
      <c r="E259" s="7" t="s">
        <v>610</v>
      </c>
      <c r="F259" s="7" t="s">
        <v>611</v>
      </c>
      <c r="G259" s="7" t="s">
        <v>13</v>
      </c>
      <c r="H259" s="7" t="s">
        <v>109</v>
      </c>
      <c r="I259" s="7" t="s">
        <v>48</v>
      </c>
      <c r="J259" s="7" t="s">
        <v>1226</v>
      </c>
      <c r="K259" s="7" t="s">
        <v>821</v>
      </c>
      <c r="L259" s="7" t="s">
        <v>786</v>
      </c>
      <c r="M259" s="7" t="s">
        <v>412</v>
      </c>
      <c r="N259" s="7" t="s">
        <v>788</v>
      </c>
    </row>
    <row r="260" spans="1:14" ht="30" customHeight="1" x14ac:dyDescent="0.25">
      <c r="A260" s="6" t="s">
        <v>1283</v>
      </c>
      <c r="B260" s="6" t="s">
        <v>409</v>
      </c>
      <c r="C260" s="7" t="s">
        <v>410</v>
      </c>
      <c r="D260" s="7" t="s">
        <v>665</v>
      </c>
      <c r="E260" s="7" t="s">
        <v>666</v>
      </c>
      <c r="F260" s="7" t="s">
        <v>667</v>
      </c>
      <c r="G260" s="7" t="s">
        <v>13</v>
      </c>
      <c r="H260" s="7" t="s">
        <v>109</v>
      </c>
      <c r="I260" s="7" t="s">
        <v>48</v>
      </c>
      <c r="J260" s="7" t="s">
        <v>1226</v>
      </c>
      <c r="K260" s="7" t="s">
        <v>821</v>
      </c>
      <c r="L260" s="7" t="s">
        <v>786</v>
      </c>
      <c r="M260" s="7" t="s">
        <v>412</v>
      </c>
      <c r="N260" s="7" t="s">
        <v>788</v>
      </c>
    </row>
    <row r="261" spans="1:14" ht="30" customHeight="1" x14ac:dyDescent="0.25">
      <c r="A261" s="6" t="s">
        <v>1284</v>
      </c>
      <c r="B261" s="6" t="s">
        <v>413</v>
      </c>
      <c r="C261" s="7" t="s">
        <v>414</v>
      </c>
      <c r="D261" s="7" t="s">
        <v>605</v>
      </c>
      <c r="E261" s="7" t="s">
        <v>606</v>
      </c>
      <c r="F261" s="7" t="s">
        <v>607</v>
      </c>
      <c r="G261" s="7" t="s">
        <v>13</v>
      </c>
      <c r="H261" s="7" t="s">
        <v>109</v>
      </c>
      <c r="I261" s="7" t="s">
        <v>48</v>
      </c>
      <c r="J261" s="7" t="s">
        <v>802</v>
      </c>
      <c r="K261" s="7" t="s">
        <v>821</v>
      </c>
      <c r="L261" s="7" t="s">
        <v>786</v>
      </c>
      <c r="M261" s="7" t="s">
        <v>1285</v>
      </c>
      <c r="N261" s="7" t="s">
        <v>788</v>
      </c>
    </row>
    <row r="262" spans="1:14" ht="30" customHeight="1" x14ac:dyDescent="0.25">
      <c r="A262" s="6" t="s">
        <v>1286</v>
      </c>
      <c r="B262" s="6" t="s">
        <v>413</v>
      </c>
      <c r="C262" s="7" t="s">
        <v>414</v>
      </c>
      <c r="D262" s="7" t="s">
        <v>624</v>
      </c>
      <c r="E262" s="7" t="s">
        <v>622</v>
      </c>
      <c r="F262" s="7" t="s">
        <v>622</v>
      </c>
      <c r="G262" s="7" t="s">
        <v>13</v>
      </c>
      <c r="H262" s="7" t="s">
        <v>109</v>
      </c>
      <c r="I262" s="7" t="s">
        <v>126</v>
      </c>
      <c r="J262" s="7" t="s">
        <v>802</v>
      </c>
      <c r="K262" s="7" t="s">
        <v>821</v>
      </c>
      <c r="L262" s="7" t="s">
        <v>791</v>
      </c>
      <c r="M262" s="7" t="s">
        <v>1287</v>
      </c>
      <c r="N262" s="7" t="s">
        <v>788</v>
      </c>
    </row>
    <row r="263" spans="1:14" ht="30" customHeight="1" x14ac:dyDescent="0.25">
      <c r="A263" s="6" t="s">
        <v>1288</v>
      </c>
      <c r="B263" s="6" t="s">
        <v>413</v>
      </c>
      <c r="C263" s="7" t="s">
        <v>414</v>
      </c>
      <c r="D263" s="7" t="s">
        <v>620</v>
      </c>
      <c r="E263" s="7" t="s">
        <v>621</v>
      </c>
      <c r="F263" s="7" t="s">
        <v>622</v>
      </c>
      <c r="G263" s="7" t="s">
        <v>13</v>
      </c>
      <c r="H263" s="7" t="s">
        <v>109</v>
      </c>
      <c r="I263" s="7" t="s">
        <v>126</v>
      </c>
      <c r="J263" s="7" t="s">
        <v>802</v>
      </c>
      <c r="K263" s="7" t="s">
        <v>821</v>
      </c>
      <c r="L263" s="7" t="s">
        <v>791</v>
      </c>
      <c r="M263" s="7" t="s">
        <v>1287</v>
      </c>
      <c r="N263" s="7" t="s">
        <v>788</v>
      </c>
    </row>
    <row r="264" spans="1:14" ht="30" customHeight="1" x14ac:dyDescent="0.25">
      <c r="A264" s="6" t="s">
        <v>1289</v>
      </c>
      <c r="B264" s="6" t="s">
        <v>413</v>
      </c>
      <c r="C264" s="7" t="s">
        <v>414</v>
      </c>
      <c r="D264" s="7" t="s">
        <v>687</v>
      </c>
      <c r="E264" s="7" t="s">
        <v>688</v>
      </c>
      <c r="F264" s="7" t="s">
        <v>682</v>
      </c>
      <c r="G264" s="7" t="s">
        <v>13</v>
      </c>
      <c r="H264" s="7" t="s">
        <v>109</v>
      </c>
      <c r="I264" s="7" t="s">
        <v>126</v>
      </c>
      <c r="J264" s="7" t="s">
        <v>802</v>
      </c>
      <c r="K264" s="7" t="s">
        <v>821</v>
      </c>
      <c r="L264" s="7" t="s">
        <v>791</v>
      </c>
      <c r="M264" s="7" t="s">
        <v>1290</v>
      </c>
      <c r="N264" s="7" t="s">
        <v>788</v>
      </c>
    </row>
    <row r="265" spans="1:14" ht="30" customHeight="1" x14ac:dyDescent="0.25">
      <c r="A265" s="6" t="s">
        <v>1291</v>
      </c>
      <c r="B265" s="6" t="s">
        <v>417</v>
      </c>
      <c r="C265" s="7" t="s">
        <v>418</v>
      </c>
      <c r="D265" s="7" t="s">
        <v>605</v>
      </c>
      <c r="E265" s="7" t="s">
        <v>606</v>
      </c>
      <c r="F265" s="7" t="s">
        <v>607</v>
      </c>
      <c r="G265" s="7" t="s">
        <v>13</v>
      </c>
      <c r="H265" s="7" t="s">
        <v>109</v>
      </c>
      <c r="I265" s="7" t="s">
        <v>48</v>
      </c>
      <c r="J265" s="7" t="s">
        <v>802</v>
      </c>
      <c r="K265" s="7" t="s">
        <v>821</v>
      </c>
      <c r="L265" s="7" t="s">
        <v>796</v>
      </c>
      <c r="M265" s="7" t="s">
        <v>1292</v>
      </c>
      <c r="N265" s="7" t="s">
        <v>788</v>
      </c>
    </row>
    <row r="266" spans="1:14" ht="30" customHeight="1" x14ac:dyDescent="0.25">
      <c r="A266" s="6" t="s">
        <v>1293</v>
      </c>
      <c r="B266" s="6" t="s">
        <v>417</v>
      </c>
      <c r="C266" s="7" t="s">
        <v>418</v>
      </c>
      <c r="D266" s="7" t="s">
        <v>665</v>
      </c>
      <c r="E266" s="7" t="s">
        <v>666</v>
      </c>
      <c r="F266" s="7" t="s">
        <v>667</v>
      </c>
      <c r="G266" s="7" t="s">
        <v>13</v>
      </c>
      <c r="H266" s="7" t="s">
        <v>109</v>
      </c>
      <c r="I266" s="7" t="s">
        <v>126</v>
      </c>
      <c r="J266" s="7" t="s">
        <v>802</v>
      </c>
      <c r="K266" s="7" t="s">
        <v>821</v>
      </c>
      <c r="L266" s="7" t="s">
        <v>791</v>
      </c>
      <c r="M266" s="7" t="s">
        <v>1294</v>
      </c>
      <c r="N266" s="7" t="s">
        <v>788</v>
      </c>
    </row>
    <row r="267" spans="1:14" ht="30" customHeight="1" x14ac:dyDescent="0.25">
      <c r="A267" s="6" t="s">
        <v>1295</v>
      </c>
      <c r="B267" s="6" t="s">
        <v>421</v>
      </c>
      <c r="C267" s="7" t="s">
        <v>422</v>
      </c>
      <c r="D267" s="7" t="s">
        <v>669</v>
      </c>
      <c r="E267" s="7" t="s">
        <v>615</v>
      </c>
      <c r="F267" s="7" t="s">
        <v>615</v>
      </c>
      <c r="G267" s="7" t="s">
        <v>13</v>
      </c>
      <c r="H267" s="7" t="s">
        <v>109</v>
      </c>
      <c r="I267" s="7" t="s">
        <v>48</v>
      </c>
      <c r="J267" s="7" t="s">
        <v>802</v>
      </c>
      <c r="K267" s="7" t="s">
        <v>821</v>
      </c>
      <c r="L267" s="7" t="s">
        <v>786</v>
      </c>
      <c r="M267" s="7" t="s">
        <v>424</v>
      </c>
      <c r="N267" s="7" t="s">
        <v>788</v>
      </c>
    </row>
    <row r="268" spans="1:14" ht="30" customHeight="1" x14ac:dyDescent="0.25">
      <c r="A268" s="6" t="s">
        <v>1296</v>
      </c>
      <c r="B268" s="6" t="s">
        <v>421</v>
      </c>
      <c r="C268" s="7" t="s">
        <v>422</v>
      </c>
      <c r="D268" s="7" t="s">
        <v>620</v>
      </c>
      <c r="E268" s="7" t="s">
        <v>621</v>
      </c>
      <c r="F268" s="7" t="s">
        <v>622</v>
      </c>
      <c r="G268" s="7" t="s">
        <v>13</v>
      </c>
      <c r="H268" s="7" t="s">
        <v>109</v>
      </c>
      <c r="I268" s="7" t="s">
        <v>48</v>
      </c>
      <c r="J268" s="7" t="s">
        <v>802</v>
      </c>
      <c r="K268" s="7" t="s">
        <v>821</v>
      </c>
      <c r="L268" s="7" t="s">
        <v>786</v>
      </c>
      <c r="M268" s="7" t="s">
        <v>1297</v>
      </c>
      <c r="N268" s="7" t="s">
        <v>788</v>
      </c>
    </row>
    <row r="269" spans="1:14" ht="30" customHeight="1" x14ac:dyDescent="0.25">
      <c r="A269" s="6" t="s">
        <v>1298</v>
      </c>
      <c r="B269" s="6" t="s">
        <v>421</v>
      </c>
      <c r="C269" s="7" t="s">
        <v>422</v>
      </c>
      <c r="D269" s="7" t="s">
        <v>617</v>
      </c>
      <c r="E269" s="7" t="s">
        <v>618</v>
      </c>
      <c r="F269" s="7" t="s">
        <v>615</v>
      </c>
      <c r="G269" s="7" t="s">
        <v>13</v>
      </c>
      <c r="H269" s="7" t="s">
        <v>109</v>
      </c>
      <c r="I269" s="7" t="s">
        <v>48</v>
      </c>
      <c r="J269" s="7" t="s">
        <v>802</v>
      </c>
      <c r="K269" s="7" t="s">
        <v>821</v>
      </c>
      <c r="L269" s="7" t="s">
        <v>786</v>
      </c>
      <c r="M269" s="7" t="s">
        <v>424</v>
      </c>
      <c r="N269" s="7" t="s">
        <v>788</v>
      </c>
    </row>
    <row r="270" spans="1:14" ht="30" customHeight="1" x14ac:dyDescent="0.25">
      <c r="A270" s="6" t="s">
        <v>1299</v>
      </c>
      <c r="B270" s="6" t="s">
        <v>425</v>
      </c>
      <c r="C270" s="7" t="s">
        <v>426</v>
      </c>
      <c r="D270" s="7" t="s">
        <v>669</v>
      </c>
      <c r="E270" s="7" t="s">
        <v>615</v>
      </c>
      <c r="F270" s="7" t="s">
        <v>615</v>
      </c>
      <c r="G270" s="7" t="s">
        <v>13</v>
      </c>
      <c r="H270" s="7" t="s">
        <v>109</v>
      </c>
      <c r="I270" s="7" t="s">
        <v>48</v>
      </c>
      <c r="J270" s="7" t="s">
        <v>802</v>
      </c>
      <c r="K270" s="7" t="s">
        <v>821</v>
      </c>
      <c r="L270" s="7" t="s">
        <v>786</v>
      </c>
      <c r="M270" s="7" t="s">
        <v>428</v>
      </c>
      <c r="N270" s="7" t="s">
        <v>788</v>
      </c>
    </row>
    <row r="271" spans="1:14" ht="30" customHeight="1" x14ac:dyDescent="0.25">
      <c r="A271" s="6" t="s">
        <v>1300</v>
      </c>
      <c r="B271" s="6" t="s">
        <v>425</v>
      </c>
      <c r="C271" s="7" t="s">
        <v>426</v>
      </c>
      <c r="D271" s="7" t="s">
        <v>617</v>
      </c>
      <c r="E271" s="7" t="s">
        <v>618</v>
      </c>
      <c r="F271" s="7" t="s">
        <v>615</v>
      </c>
      <c r="G271" s="7" t="s">
        <v>13</v>
      </c>
      <c r="H271" s="7" t="s">
        <v>109</v>
      </c>
      <c r="I271" s="7" t="s">
        <v>48</v>
      </c>
      <c r="J271" s="7" t="s">
        <v>802</v>
      </c>
      <c r="K271" s="7" t="s">
        <v>821</v>
      </c>
      <c r="L271" s="7" t="s">
        <v>786</v>
      </c>
      <c r="M271" s="7" t="s">
        <v>1301</v>
      </c>
      <c r="N271" s="7" t="s">
        <v>788</v>
      </c>
    </row>
    <row r="272" spans="1:14" ht="30" customHeight="1" x14ac:dyDescent="0.25">
      <c r="A272" s="6" t="s">
        <v>1302</v>
      </c>
      <c r="B272" s="6" t="s">
        <v>429</v>
      </c>
      <c r="C272" s="7" t="s">
        <v>430</v>
      </c>
      <c r="D272" s="7" t="s">
        <v>620</v>
      </c>
      <c r="E272" s="7" t="s">
        <v>621</v>
      </c>
      <c r="F272" s="7" t="s">
        <v>622</v>
      </c>
      <c r="G272" s="7" t="s">
        <v>13</v>
      </c>
      <c r="H272" s="7" t="s">
        <v>109</v>
      </c>
      <c r="I272" s="7" t="s">
        <v>48</v>
      </c>
      <c r="J272" s="7" t="s">
        <v>802</v>
      </c>
      <c r="K272" s="7" t="s">
        <v>821</v>
      </c>
      <c r="L272" s="7" t="s">
        <v>786</v>
      </c>
      <c r="M272" s="7" t="s">
        <v>1303</v>
      </c>
      <c r="N272" s="7" t="s">
        <v>788</v>
      </c>
    </row>
    <row r="273" spans="1:14" ht="30" customHeight="1" x14ac:dyDescent="0.25">
      <c r="A273" s="6" t="s">
        <v>1304</v>
      </c>
      <c r="B273" s="6" t="s">
        <v>429</v>
      </c>
      <c r="C273" s="7" t="s">
        <v>430</v>
      </c>
      <c r="D273" s="7" t="s">
        <v>626</v>
      </c>
      <c r="E273" s="7" t="s">
        <v>627</v>
      </c>
      <c r="F273" s="7" t="s">
        <v>622</v>
      </c>
      <c r="G273" s="7" t="s">
        <v>13</v>
      </c>
      <c r="H273" s="7" t="s">
        <v>109</v>
      </c>
      <c r="I273" s="7" t="s">
        <v>48</v>
      </c>
      <c r="J273" s="7" t="s">
        <v>802</v>
      </c>
      <c r="K273" s="7" t="s">
        <v>821</v>
      </c>
      <c r="L273" s="7" t="s">
        <v>786</v>
      </c>
      <c r="M273" s="7" t="s">
        <v>1305</v>
      </c>
      <c r="N273" s="7" t="s">
        <v>788</v>
      </c>
    </row>
    <row r="274" spans="1:14" ht="30" customHeight="1" x14ac:dyDescent="0.25">
      <c r="A274" s="6" t="s">
        <v>1306</v>
      </c>
      <c r="B274" s="6" t="s">
        <v>429</v>
      </c>
      <c r="C274" s="7" t="s">
        <v>430</v>
      </c>
      <c r="D274" s="7" t="s">
        <v>624</v>
      </c>
      <c r="E274" s="7" t="s">
        <v>622</v>
      </c>
      <c r="F274" s="7" t="s">
        <v>622</v>
      </c>
      <c r="G274" s="7" t="s">
        <v>13</v>
      </c>
      <c r="H274" s="7" t="s">
        <v>109</v>
      </c>
      <c r="I274" s="7" t="s">
        <v>48</v>
      </c>
      <c r="J274" s="7" t="s">
        <v>802</v>
      </c>
      <c r="K274" s="7" t="s">
        <v>821</v>
      </c>
      <c r="L274" s="7" t="s">
        <v>786</v>
      </c>
      <c r="M274" s="7" t="s">
        <v>1303</v>
      </c>
      <c r="N274" s="7" t="s">
        <v>788</v>
      </c>
    </row>
    <row r="275" spans="1:14" ht="30" customHeight="1" x14ac:dyDescent="0.25">
      <c r="A275" s="6" t="s">
        <v>1307</v>
      </c>
      <c r="B275" s="6" t="s">
        <v>429</v>
      </c>
      <c r="C275" s="7" t="s">
        <v>430</v>
      </c>
      <c r="D275" s="7" t="s">
        <v>669</v>
      </c>
      <c r="E275" s="7" t="s">
        <v>615</v>
      </c>
      <c r="F275" s="7" t="s">
        <v>615</v>
      </c>
      <c r="G275" s="7" t="s">
        <v>13</v>
      </c>
      <c r="H275" s="7" t="s">
        <v>109</v>
      </c>
      <c r="I275" s="7" t="s">
        <v>48</v>
      </c>
      <c r="J275" s="7" t="s">
        <v>802</v>
      </c>
      <c r="K275" s="7" t="s">
        <v>821</v>
      </c>
      <c r="L275" s="7" t="s">
        <v>786</v>
      </c>
      <c r="M275" s="7" t="s">
        <v>1308</v>
      </c>
      <c r="N275" s="7" t="s">
        <v>788</v>
      </c>
    </row>
    <row r="276" spans="1:14" ht="30" customHeight="1" x14ac:dyDescent="0.25">
      <c r="A276" s="6" t="s">
        <v>1309</v>
      </c>
      <c r="B276" s="6" t="s">
        <v>434</v>
      </c>
      <c r="C276" s="7" t="s">
        <v>435</v>
      </c>
      <c r="D276" s="7" t="s">
        <v>605</v>
      </c>
      <c r="E276" s="7" t="s">
        <v>606</v>
      </c>
      <c r="F276" s="7" t="s">
        <v>607</v>
      </c>
      <c r="G276" s="7" t="s">
        <v>13</v>
      </c>
      <c r="H276" s="7" t="s">
        <v>109</v>
      </c>
      <c r="I276" s="7" t="s">
        <v>48</v>
      </c>
      <c r="J276" s="7" t="s">
        <v>802</v>
      </c>
      <c r="K276" s="7" t="s">
        <v>821</v>
      </c>
      <c r="L276" s="7" t="s">
        <v>786</v>
      </c>
      <c r="M276" s="7" t="s">
        <v>1310</v>
      </c>
      <c r="N276" s="7" t="s">
        <v>788</v>
      </c>
    </row>
    <row r="277" spans="1:14" ht="30" customHeight="1" x14ac:dyDescent="0.25">
      <c r="A277" s="6" t="s">
        <v>1311</v>
      </c>
      <c r="B277" s="6" t="s">
        <v>434</v>
      </c>
      <c r="C277" s="7" t="s">
        <v>435</v>
      </c>
      <c r="D277" s="7" t="s">
        <v>624</v>
      </c>
      <c r="E277" s="7" t="s">
        <v>622</v>
      </c>
      <c r="F277" s="7" t="s">
        <v>622</v>
      </c>
      <c r="G277" s="7" t="s">
        <v>13</v>
      </c>
      <c r="H277" s="7" t="s">
        <v>109</v>
      </c>
      <c r="I277" s="7" t="s">
        <v>126</v>
      </c>
      <c r="J277" s="7" t="s">
        <v>802</v>
      </c>
      <c r="K277" s="7" t="s">
        <v>821</v>
      </c>
      <c r="L277" s="7" t="s">
        <v>791</v>
      </c>
      <c r="M277" s="7" t="s">
        <v>1312</v>
      </c>
      <c r="N277" s="7" t="s">
        <v>788</v>
      </c>
    </row>
    <row r="278" spans="1:14" ht="30" customHeight="1" x14ac:dyDescent="0.25">
      <c r="A278" s="6" t="s">
        <v>1313</v>
      </c>
      <c r="B278" s="6" t="s">
        <v>434</v>
      </c>
      <c r="C278" s="7" t="s">
        <v>435</v>
      </c>
      <c r="D278" s="7" t="s">
        <v>659</v>
      </c>
      <c r="E278" s="7" t="s">
        <v>660</v>
      </c>
      <c r="F278" s="7" t="s">
        <v>607</v>
      </c>
      <c r="G278" s="7" t="s">
        <v>13</v>
      </c>
      <c r="H278" s="7" t="s">
        <v>109</v>
      </c>
      <c r="I278" s="7" t="s">
        <v>126</v>
      </c>
      <c r="J278" s="7" t="s">
        <v>802</v>
      </c>
      <c r="K278" s="7" t="s">
        <v>821</v>
      </c>
      <c r="L278" s="7" t="s">
        <v>786</v>
      </c>
      <c r="M278" s="7" t="s">
        <v>1312</v>
      </c>
      <c r="N278" s="7" t="s">
        <v>788</v>
      </c>
    </row>
    <row r="279" spans="1:14" ht="30" customHeight="1" x14ac:dyDescent="0.25">
      <c r="A279" s="6" t="s">
        <v>1314</v>
      </c>
      <c r="B279" s="6" t="s">
        <v>434</v>
      </c>
      <c r="C279" s="7" t="s">
        <v>435</v>
      </c>
      <c r="D279" s="7" t="s">
        <v>662</v>
      </c>
      <c r="E279" s="7" t="s">
        <v>663</v>
      </c>
      <c r="F279" s="7" t="s">
        <v>607</v>
      </c>
      <c r="G279" s="7" t="s">
        <v>13</v>
      </c>
      <c r="H279" s="7" t="s">
        <v>109</v>
      </c>
      <c r="I279" s="7" t="s">
        <v>126</v>
      </c>
      <c r="J279" s="7" t="s">
        <v>802</v>
      </c>
      <c r="K279" s="7" t="s">
        <v>821</v>
      </c>
      <c r="L279" s="7" t="s">
        <v>791</v>
      </c>
      <c r="M279" s="7" t="s">
        <v>1315</v>
      </c>
      <c r="N279" s="7" t="s">
        <v>788</v>
      </c>
    </row>
    <row r="280" spans="1:14" ht="30" customHeight="1" x14ac:dyDescent="0.25">
      <c r="A280" s="6" t="s">
        <v>1316</v>
      </c>
      <c r="B280" s="6" t="s">
        <v>434</v>
      </c>
      <c r="C280" s="7" t="s">
        <v>435</v>
      </c>
      <c r="D280" s="7" t="s">
        <v>687</v>
      </c>
      <c r="E280" s="7" t="s">
        <v>688</v>
      </c>
      <c r="F280" s="7" t="s">
        <v>682</v>
      </c>
      <c r="G280" s="7" t="s">
        <v>13</v>
      </c>
      <c r="H280" s="7" t="s">
        <v>109</v>
      </c>
      <c r="I280" s="7" t="s">
        <v>126</v>
      </c>
      <c r="J280" s="7" t="s">
        <v>802</v>
      </c>
      <c r="K280" s="7" t="s">
        <v>821</v>
      </c>
      <c r="L280" s="7" t="s">
        <v>786</v>
      </c>
      <c r="M280" s="7" t="s">
        <v>1317</v>
      </c>
      <c r="N280" s="7" t="s">
        <v>788</v>
      </c>
    </row>
    <row r="281" spans="1:14" ht="30" customHeight="1" x14ac:dyDescent="0.25">
      <c r="A281" s="6" t="s">
        <v>1318</v>
      </c>
      <c r="B281" s="6" t="s">
        <v>439</v>
      </c>
      <c r="C281" s="7" t="s">
        <v>440</v>
      </c>
      <c r="D281" s="7" t="s">
        <v>605</v>
      </c>
      <c r="E281" s="7" t="s">
        <v>606</v>
      </c>
      <c r="F281" s="7" t="s">
        <v>607</v>
      </c>
      <c r="G281" s="7" t="s">
        <v>13</v>
      </c>
      <c r="H281" s="7" t="s">
        <v>109</v>
      </c>
      <c r="I281" s="7" t="s">
        <v>48</v>
      </c>
      <c r="J281" s="7" t="s">
        <v>802</v>
      </c>
      <c r="K281" s="7" t="s">
        <v>821</v>
      </c>
      <c r="L281" s="7" t="s">
        <v>786</v>
      </c>
      <c r="M281" s="7" t="s">
        <v>1319</v>
      </c>
      <c r="N281" s="7" t="s">
        <v>788</v>
      </c>
    </row>
    <row r="282" spans="1:14" ht="30" customHeight="1" x14ac:dyDescent="0.25">
      <c r="A282" s="6" t="s">
        <v>1320</v>
      </c>
      <c r="B282" s="6" t="s">
        <v>439</v>
      </c>
      <c r="C282" s="7" t="s">
        <v>440</v>
      </c>
      <c r="D282" s="7" t="s">
        <v>659</v>
      </c>
      <c r="E282" s="7" t="s">
        <v>660</v>
      </c>
      <c r="F282" s="7" t="s">
        <v>607</v>
      </c>
      <c r="G282" s="7" t="s">
        <v>13</v>
      </c>
      <c r="H282" s="7" t="s">
        <v>109</v>
      </c>
      <c r="I282" s="7" t="s">
        <v>48</v>
      </c>
      <c r="J282" s="7" t="s">
        <v>802</v>
      </c>
      <c r="K282" s="7" t="s">
        <v>821</v>
      </c>
      <c r="L282" s="7" t="s">
        <v>786</v>
      </c>
      <c r="M282" s="7" t="s">
        <v>1319</v>
      </c>
      <c r="N282" s="7" t="s">
        <v>788</v>
      </c>
    </row>
    <row r="283" spans="1:14" ht="30" customHeight="1" x14ac:dyDescent="0.25">
      <c r="A283" s="6" t="s">
        <v>1321</v>
      </c>
      <c r="B283" s="6" t="s">
        <v>439</v>
      </c>
      <c r="C283" s="7" t="s">
        <v>440</v>
      </c>
      <c r="D283" s="7" t="s">
        <v>662</v>
      </c>
      <c r="E283" s="7" t="s">
        <v>663</v>
      </c>
      <c r="F283" s="7" t="s">
        <v>607</v>
      </c>
      <c r="G283" s="7" t="s">
        <v>13</v>
      </c>
      <c r="H283" s="7" t="s">
        <v>109</v>
      </c>
      <c r="I283" s="7" t="s">
        <v>48</v>
      </c>
      <c r="J283" s="7" t="s">
        <v>802</v>
      </c>
      <c r="K283" s="7" t="s">
        <v>821</v>
      </c>
      <c r="L283" s="7" t="s">
        <v>786</v>
      </c>
      <c r="M283" s="7" t="s">
        <v>1319</v>
      </c>
      <c r="N283" s="7" t="s">
        <v>788</v>
      </c>
    </row>
    <row r="284" spans="1:14" ht="30" customHeight="1" x14ac:dyDescent="0.25">
      <c r="A284" s="6" t="s">
        <v>1322</v>
      </c>
      <c r="B284" s="6" t="s">
        <v>439</v>
      </c>
      <c r="C284" s="7" t="s">
        <v>440</v>
      </c>
      <c r="D284" s="7" t="s">
        <v>684</v>
      </c>
      <c r="E284" s="7" t="s">
        <v>685</v>
      </c>
      <c r="F284" s="7" t="s">
        <v>667</v>
      </c>
      <c r="G284" s="7" t="s">
        <v>13</v>
      </c>
      <c r="H284" s="7" t="s">
        <v>109</v>
      </c>
      <c r="I284" s="7" t="s">
        <v>48</v>
      </c>
      <c r="J284" s="7" t="s">
        <v>802</v>
      </c>
      <c r="K284" s="7" t="s">
        <v>821</v>
      </c>
      <c r="L284" s="7" t="s">
        <v>786</v>
      </c>
      <c r="M284" s="7" t="s">
        <v>1319</v>
      </c>
      <c r="N284" s="7" t="s">
        <v>788</v>
      </c>
    </row>
    <row r="285" spans="1:14" ht="30" customHeight="1" x14ac:dyDescent="0.25">
      <c r="A285" s="6" t="s">
        <v>1323</v>
      </c>
      <c r="B285" s="6" t="s">
        <v>439</v>
      </c>
      <c r="C285" s="7" t="s">
        <v>440</v>
      </c>
      <c r="D285" s="7" t="s">
        <v>677</v>
      </c>
      <c r="E285" s="7" t="s">
        <v>678</v>
      </c>
      <c r="F285" s="7" t="s">
        <v>667</v>
      </c>
      <c r="G285" s="7" t="s">
        <v>13</v>
      </c>
      <c r="H285" s="7" t="s">
        <v>109</v>
      </c>
      <c r="I285" s="7" t="s">
        <v>48</v>
      </c>
      <c r="J285" s="7" t="s">
        <v>802</v>
      </c>
      <c r="K285" s="7" t="s">
        <v>821</v>
      </c>
      <c r="L285" s="7" t="s">
        <v>786</v>
      </c>
      <c r="M285" s="7" t="s">
        <v>1319</v>
      </c>
      <c r="N285" s="7" t="s">
        <v>788</v>
      </c>
    </row>
    <row r="286" spans="1:14" ht="30" customHeight="1" x14ac:dyDescent="0.25">
      <c r="A286" s="6" t="s">
        <v>1324</v>
      </c>
      <c r="B286" s="6" t="s">
        <v>439</v>
      </c>
      <c r="C286" s="7" t="s">
        <v>440</v>
      </c>
      <c r="D286" s="7" t="s">
        <v>640</v>
      </c>
      <c r="E286" s="7" t="s">
        <v>641</v>
      </c>
      <c r="F286" s="7" t="s">
        <v>642</v>
      </c>
      <c r="G286" s="7" t="s">
        <v>13</v>
      </c>
      <c r="H286" s="7" t="s">
        <v>109</v>
      </c>
      <c r="I286" s="7" t="s">
        <v>48</v>
      </c>
      <c r="J286" s="7" t="s">
        <v>802</v>
      </c>
      <c r="K286" s="7" t="s">
        <v>821</v>
      </c>
      <c r="L286" s="7" t="s">
        <v>786</v>
      </c>
      <c r="M286" s="7" t="s">
        <v>1325</v>
      </c>
      <c r="N286" s="7" t="s">
        <v>788</v>
      </c>
    </row>
    <row r="287" spans="1:14" ht="30" customHeight="1" x14ac:dyDescent="0.25">
      <c r="A287" s="6" t="s">
        <v>1326</v>
      </c>
      <c r="B287" s="6" t="s">
        <v>439</v>
      </c>
      <c r="C287" s="7" t="s">
        <v>440</v>
      </c>
      <c r="D287" s="7" t="s">
        <v>669</v>
      </c>
      <c r="E287" s="7" t="s">
        <v>615</v>
      </c>
      <c r="F287" s="7" t="s">
        <v>615</v>
      </c>
      <c r="G287" s="7" t="s">
        <v>13</v>
      </c>
      <c r="H287" s="7" t="s">
        <v>109</v>
      </c>
      <c r="I287" s="7" t="s">
        <v>48</v>
      </c>
      <c r="J287" s="7" t="s">
        <v>802</v>
      </c>
      <c r="K287" s="7" t="s">
        <v>821</v>
      </c>
      <c r="L287" s="7" t="s">
        <v>791</v>
      </c>
      <c r="M287" s="7" t="s">
        <v>1327</v>
      </c>
      <c r="N287" s="7" t="s">
        <v>788</v>
      </c>
    </row>
  </sheetData>
  <mergeCells count="2">
    <mergeCell ref="A2:N2"/>
    <mergeCell ref="A1:N1"/>
  </mergeCells>
  <phoneticPr fontId="12" type="noConversion"/>
  <conditionalFormatting sqref="G5:G287">
    <cfRule type="expression" dxfId="38" priority="1">
      <formula>OR(G5="Reviewed",G5="Human-Checked",G5="Human-Revised",G5="Supported")</formula>
    </cfRule>
    <cfRule type="expression" dxfId="37" priority="2">
      <formula>OR(G5="Research",G5="AI-Seeded",G5="Candidate",G5="Lead")</formula>
    </cfRule>
    <cfRule type="expression" dxfId="36" priority="3">
      <formula>OR(G5="Needs Second Source",G5="Needs Local Retrieval",G5="Failed")</formula>
    </cfRule>
  </conditionalFormatting>
  <conditionalFormatting sqref="H5:H287">
    <cfRule type="expression" dxfId="35" priority="4">
      <formula>OR(H5="Reviewed",H5="Human-Checked",H5="Human-Revised",H5="Supported")</formula>
    </cfRule>
    <cfRule type="expression" dxfId="34" priority="5">
      <formula>OR(H5="Research",H5="AI-Seeded",H5="Candidate",H5="Lead")</formula>
    </cfRule>
    <cfRule type="expression" dxfId="33" priority="6">
      <formula>OR(H5="Needs Second Source",H5="Needs Local Retrieval",H5="Failed")</formula>
    </cfRule>
  </conditionalFormatting>
  <pageMargins left="0.25" right="0.25" top="0.4" bottom="0.4" header="0.5" footer="0.5"/>
  <pageSetup orientation="landscape"/>
  <headerFooter>
    <oddHeader>&amp;C&amp;BActor-Issue</oddHeader>
    <oddFooter>&amp;LOkinawa NGO / Civic Organization Database&amp;CEnglish presentation edition&amp;RPage &amp;P of &amp;N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B626A"/>
    <pageSetUpPr fitToPage="1"/>
  </sheetPr>
  <dimension ref="A1:L134"/>
  <sheetViews>
    <sheetView showGridLines="0" zoomScale="85" workbookViewId="0">
      <pane ySplit="4" topLeftCell="A5" activePane="bottomLeft" state="frozen"/>
      <selection pane="bottomLeft"/>
    </sheetView>
  </sheetViews>
  <sheetFormatPr defaultRowHeight="14.4" x14ac:dyDescent="0.25"/>
  <cols>
    <col min="1" max="2" width="11" customWidth="1"/>
    <col min="3" max="3" width="42" customWidth="1"/>
    <col min="4" max="4" width="11" customWidth="1"/>
    <col min="5" max="5" width="29" customWidth="1"/>
    <col min="6" max="6" width="17" customWidth="1"/>
    <col min="7" max="7" width="15" customWidth="1"/>
    <col min="8" max="8" width="23" customWidth="1"/>
    <col min="9" max="9" width="21" customWidth="1"/>
    <col min="10" max="10" width="16" customWidth="1"/>
    <col min="11" max="11" width="21" customWidth="1"/>
    <col min="12" max="12" width="42" customWidth="1"/>
  </cols>
  <sheetData>
    <row r="1" spans="1:12" ht="34.049999999999997" customHeight="1" x14ac:dyDescent="0.25">
      <c r="A1" s="21" t="s">
        <v>1328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31.95" customHeight="1" x14ac:dyDescent="0.25">
      <c r="A2" s="20" t="s">
        <v>1329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ht="34.049999999999997" customHeight="1" x14ac:dyDescent="0.25">
      <c r="A4" s="5" t="s">
        <v>776</v>
      </c>
      <c r="B4" s="5" t="s">
        <v>31</v>
      </c>
      <c r="C4" s="5" t="s">
        <v>777</v>
      </c>
      <c r="D4" s="5" t="s">
        <v>692</v>
      </c>
      <c r="E4" s="5" t="s">
        <v>693</v>
      </c>
      <c r="F4" s="5" t="s">
        <v>1330</v>
      </c>
      <c r="G4" s="5" t="s">
        <v>778</v>
      </c>
      <c r="H4" s="5" t="s">
        <v>39</v>
      </c>
      <c r="I4" s="5" t="s">
        <v>1331</v>
      </c>
      <c r="J4" s="5" t="s">
        <v>38</v>
      </c>
      <c r="K4" s="5" t="s">
        <v>41</v>
      </c>
      <c r="L4" s="5" t="s">
        <v>782</v>
      </c>
    </row>
    <row r="5" spans="1:12" ht="30" customHeight="1" x14ac:dyDescent="0.25">
      <c r="A5" s="6" t="s">
        <v>1332</v>
      </c>
      <c r="B5" s="6" t="s">
        <v>42</v>
      </c>
      <c r="C5" s="7" t="s">
        <v>43</v>
      </c>
      <c r="D5" s="7" t="s">
        <v>703</v>
      </c>
      <c r="E5" s="7" t="s">
        <v>610</v>
      </c>
      <c r="F5" s="7"/>
      <c r="G5" s="7" t="s">
        <v>14</v>
      </c>
      <c r="H5" s="7" t="s">
        <v>49</v>
      </c>
      <c r="I5" s="7"/>
      <c r="J5" s="7" t="s">
        <v>48</v>
      </c>
      <c r="K5" s="7" t="s">
        <v>787</v>
      </c>
      <c r="L5" s="7" t="s">
        <v>1333</v>
      </c>
    </row>
    <row r="6" spans="1:12" ht="30" customHeight="1" x14ac:dyDescent="0.25">
      <c r="A6" s="6" t="s">
        <v>1334</v>
      </c>
      <c r="B6" s="6" t="s">
        <v>42</v>
      </c>
      <c r="C6" s="7" t="s">
        <v>43</v>
      </c>
      <c r="D6" s="7" t="s">
        <v>706</v>
      </c>
      <c r="E6" s="7" t="s">
        <v>707</v>
      </c>
      <c r="F6" s="7"/>
      <c r="G6" s="7" t="s">
        <v>14</v>
      </c>
      <c r="H6" s="7" t="s">
        <v>49</v>
      </c>
      <c r="I6" s="7"/>
      <c r="J6" s="7" t="s">
        <v>48</v>
      </c>
      <c r="K6" s="7" t="s">
        <v>787</v>
      </c>
      <c r="L6" s="7" t="s">
        <v>1333</v>
      </c>
    </row>
    <row r="7" spans="1:12" ht="30" customHeight="1" x14ac:dyDescent="0.25">
      <c r="A7" s="6" t="s">
        <v>1335</v>
      </c>
      <c r="B7" s="6" t="s">
        <v>52</v>
      </c>
      <c r="C7" s="7" t="s">
        <v>53</v>
      </c>
      <c r="D7" s="7" t="s">
        <v>703</v>
      </c>
      <c r="E7" s="7" t="s">
        <v>610</v>
      </c>
      <c r="F7" s="7"/>
      <c r="G7" s="7" t="s">
        <v>13</v>
      </c>
      <c r="H7" s="7" t="s">
        <v>58</v>
      </c>
      <c r="I7" s="7"/>
      <c r="J7" s="7" t="s">
        <v>48</v>
      </c>
      <c r="K7" s="7" t="s">
        <v>797</v>
      </c>
      <c r="L7" s="7" t="s">
        <v>1333</v>
      </c>
    </row>
    <row r="8" spans="1:12" ht="30" customHeight="1" x14ac:dyDescent="0.25">
      <c r="A8" s="6" t="s">
        <v>1336</v>
      </c>
      <c r="B8" s="6" t="s">
        <v>52</v>
      </c>
      <c r="C8" s="7" t="s">
        <v>53</v>
      </c>
      <c r="D8" s="7" t="s">
        <v>706</v>
      </c>
      <c r="E8" s="7" t="s">
        <v>707</v>
      </c>
      <c r="F8" s="7"/>
      <c r="G8" s="7" t="s">
        <v>13</v>
      </c>
      <c r="H8" s="7" t="s">
        <v>58</v>
      </c>
      <c r="I8" s="7"/>
      <c r="J8" s="7" t="s">
        <v>48</v>
      </c>
      <c r="K8" s="7" t="s">
        <v>797</v>
      </c>
      <c r="L8" s="7" t="s">
        <v>1333</v>
      </c>
    </row>
    <row r="9" spans="1:12" ht="30" customHeight="1" x14ac:dyDescent="0.25">
      <c r="A9" s="6" t="s">
        <v>1337</v>
      </c>
      <c r="B9" s="6" t="s">
        <v>60</v>
      </c>
      <c r="C9" s="7" t="s">
        <v>61</v>
      </c>
      <c r="D9" s="7" t="s">
        <v>698</v>
      </c>
      <c r="E9" s="7" t="s">
        <v>699</v>
      </c>
      <c r="F9" s="7" t="s">
        <v>1338</v>
      </c>
      <c r="G9" s="7" t="s">
        <v>13</v>
      </c>
      <c r="H9" s="7" t="s">
        <v>58</v>
      </c>
      <c r="I9" s="7" t="s">
        <v>1339</v>
      </c>
      <c r="J9" s="7" t="s">
        <v>66</v>
      </c>
      <c r="K9" s="7" t="s">
        <v>68</v>
      </c>
      <c r="L9" s="7" t="s">
        <v>1333</v>
      </c>
    </row>
    <row r="10" spans="1:12" ht="30" customHeight="1" x14ac:dyDescent="0.25">
      <c r="A10" s="6" t="s">
        <v>1340</v>
      </c>
      <c r="B10" s="6" t="s">
        <v>60</v>
      </c>
      <c r="C10" s="7" t="s">
        <v>61</v>
      </c>
      <c r="D10" s="7" t="s">
        <v>703</v>
      </c>
      <c r="E10" s="7" t="s">
        <v>610</v>
      </c>
      <c r="F10" s="7"/>
      <c r="G10" s="7" t="s">
        <v>14</v>
      </c>
      <c r="H10" s="7" t="s">
        <v>67</v>
      </c>
      <c r="I10" s="7"/>
      <c r="J10" s="7" t="s">
        <v>66</v>
      </c>
      <c r="K10" s="7" t="s">
        <v>68</v>
      </c>
      <c r="L10" s="7" t="s">
        <v>1333</v>
      </c>
    </row>
    <row r="11" spans="1:12" ht="30" customHeight="1" x14ac:dyDescent="0.25">
      <c r="A11" s="6" t="s">
        <v>1341</v>
      </c>
      <c r="B11" s="6" t="s">
        <v>69</v>
      </c>
      <c r="C11" s="7" t="s">
        <v>70</v>
      </c>
      <c r="D11" s="7" t="s">
        <v>703</v>
      </c>
      <c r="E11" s="7" t="s">
        <v>610</v>
      </c>
      <c r="F11" s="7"/>
      <c r="G11" s="7" t="s">
        <v>14</v>
      </c>
      <c r="H11" s="7" t="s">
        <v>49</v>
      </c>
      <c r="I11" s="7"/>
      <c r="J11" s="7" t="s">
        <v>48</v>
      </c>
      <c r="K11" s="7" t="s">
        <v>74</v>
      </c>
      <c r="L11" s="7" t="s">
        <v>1333</v>
      </c>
    </row>
    <row r="12" spans="1:12" ht="30" customHeight="1" x14ac:dyDescent="0.25">
      <c r="A12" s="6" t="s">
        <v>1342</v>
      </c>
      <c r="B12" s="6" t="s">
        <v>69</v>
      </c>
      <c r="C12" s="7" t="s">
        <v>70</v>
      </c>
      <c r="D12" s="7" t="s">
        <v>706</v>
      </c>
      <c r="E12" s="7" t="s">
        <v>707</v>
      </c>
      <c r="F12" s="7"/>
      <c r="G12" s="7" t="s">
        <v>14</v>
      </c>
      <c r="H12" s="7" t="s">
        <v>49</v>
      </c>
      <c r="I12" s="7"/>
      <c r="J12" s="7" t="s">
        <v>48</v>
      </c>
      <c r="K12" s="7" t="s">
        <v>74</v>
      </c>
      <c r="L12" s="7" t="s">
        <v>1333</v>
      </c>
    </row>
    <row r="13" spans="1:12" ht="30" customHeight="1" x14ac:dyDescent="0.25">
      <c r="A13" s="6" t="s">
        <v>1343</v>
      </c>
      <c r="B13" s="6" t="s">
        <v>75</v>
      </c>
      <c r="C13" s="7" t="s">
        <v>76</v>
      </c>
      <c r="D13" s="7" t="s">
        <v>703</v>
      </c>
      <c r="E13" s="7" t="s">
        <v>610</v>
      </c>
      <c r="F13" s="7"/>
      <c r="G13" s="7" t="s">
        <v>14</v>
      </c>
      <c r="H13" s="7" t="s">
        <v>49</v>
      </c>
      <c r="I13" s="7"/>
      <c r="J13" s="7" t="s">
        <v>48</v>
      </c>
      <c r="K13" s="7" t="s">
        <v>68</v>
      </c>
      <c r="L13" s="7" t="s">
        <v>1333</v>
      </c>
    </row>
    <row r="14" spans="1:12" ht="30" customHeight="1" x14ac:dyDescent="0.25">
      <c r="A14" s="6" t="s">
        <v>1344</v>
      </c>
      <c r="B14" s="6" t="s">
        <v>79</v>
      </c>
      <c r="C14" s="7" t="s">
        <v>80</v>
      </c>
      <c r="D14" s="7" t="s">
        <v>703</v>
      </c>
      <c r="E14" s="7" t="s">
        <v>610</v>
      </c>
      <c r="F14" s="7"/>
      <c r="G14" s="7" t="s">
        <v>14</v>
      </c>
      <c r="H14" s="7" t="s">
        <v>49</v>
      </c>
      <c r="I14" s="7"/>
      <c r="J14" s="7" t="s">
        <v>48</v>
      </c>
      <c r="K14" s="7" t="s">
        <v>68</v>
      </c>
      <c r="L14" s="7" t="s">
        <v>1333</v>
      </c>
    </row>
    <row r="15" spans="1:12" ht="30" customHeight="1" x14ac:dyDescent="0.25">
      <c r="A15" s="6" t="s">
        <v>1345</v>
      </c>
      <c r="B15" s="6" t="s">
        <v>83</v>
      </c>
      <c r="C15" s="7" t="s">
        <v>84</v>
      </c>
      <c r="D15" s="7" t="s">
        <v>703</v>
      </c>
      <c r="E15" s="7" t="s">
        <v>610</v>
      </c>
      <c r="F15" s="7"/>
      <c r="G15" s="7" t="s">
        <v>14</v>
      </c>
      <c r="H15" s="7" t="s">
        <v>49</v>
      </c>
      <c r="I15" s="7"/>
      <c r="J15" s="7" t="s">
        <v>48</v>
      </c>
      <c r="K15" s="7" t="s">
        <v>88</v>
      </c>
      <c r="L15" s="7" t="s">
        <v>1333</v>
      </c>
    </row>
    <row r="16" spans="1:12" ht="30" customHeight="1" x14ac:dyDescent="0.25">
      <c r="A16" s="6" t="s">
        <v>1346</v>
      </c>
      <c r="B16" s="6" t="s">
        <v>89</v>
      </c>
      <c r="C16" s="7" t="s">
        <v>90</v>
      </c>
      <c r="D16" s="7" t="s">
        <v>698</v>
      </c>
      <c r="E16" s="7" t="s">
        <v>699</v>
      </c>
      <c r="F16" s="7"/>
      <c r="G16" s="7" t="s">
        <v>13</v>
      </c>
      <c r="H16" s="7" t="s">
        <v>58</v>
      </c>
      <c r="I16" s="7"/>
      <c r="J16" s="7" t="s">
        <v>66</v>
      </c>
      <c r="K16" s="7" t="s">
        <v>827</v>
      </c>
      <c r="L16" s="7" t="s">
        <v>1333</v>
      </c>
    </row>
    <row r="17" spans="1:12" ht="30" customHeight="1" x14ac:dyDescent="0.25">
      <c r="A17" s="6" t="s">
        <v>1347</v>
      </c>
      <c r="B17" s="6" t="s">
        <v>95</v>
      </c>
      <c r="C17" s="7" t="s">
        <v>96</v>
      </c>
      <c r="D17" s="7" t="s">
        <v>703</v>
      </c>
      <c r="E17" s="7" t="s">
        <v>610</v>
      </c>
      <c r="F17" s="7"/>
      <c r="G17" s="7" t="s">
        <v>14</v>
      </c>
      <c r="H17" s="7" t="s">
        <v>49</v>
      </c>
      <c r="I17" s="7"/>
      <c r="J17" s="7" t="s">
        <v>48</v>
      </c>
      <c r="K17" s="7" t="s">
        <v>100</v>
      </c>
      <c r="L17" s="7" t="s">
        <v>1333</v>
      </c>
    </row>
    <row r="18" spans="1:12" ht="30" customHeight="1" x14ac:dyDescent="0.25">
      <c r="A18" s="6" t="s">
        <v>1348</v>
      </c>
      <c r="B18" s="6" t="s">
        <v>95</v>
      </c>
      <c r="C18" s="7" t="s">
        <v>96</v>
      </c>
      <c r="D18" s="7" t="s">
        <v>706</v>
      </c>
      <c r="E18" s="7" t="s">
        <v>707</v>
      </c>
      <c r="F18" s="7"/>
      <c r="G18" s="7" t="s">
        <v>14</v>
      </c>
      <c r="H18" s="7" t="s">
        <v>49</v>
      </c>
      <c r="I18" s="7"/>
      <c r="J18" s="7" t="s">
        <v>48</v>
      </c>
      <c r="K18" s="7" t="s">
        <v>100</v>
      </c>
      <c r="L18" s="7" t="s">
        <v>1333</v>
      </c>
    </row>
    <row r="19" spans="1:12" ht="30" customHeight="1" x14ac:dyDescent="0.25">
      <c r="A19" s="6" t="s">
        <v>1349</v>
      </c>
      <c r="B19" s="6" t="s">
        <v>101</v>
      </c>
      <c r="C19" s="7" t="s">
        <v>102</v>
      </c>
      <c r="D19" s="7" t="s">
        <v>741</v>
      </c>
      <c r="E19" s="7" t="s">
        <v>742</v>
      </c>
      <c r="F19" s="7"/>
      <c r="G19" s="7" t="s">
        <v>14</v>
      </c>
      <c r="H19" s="7" t="s">
        <v>49</v>
      </c>
      <c r="I19" s="7"/>
      <c r="J19" s="7" t="s">
        <v>48</v>
      </c>
      <c r="K19" s="7" t="s">
        <v>835</v>
      </c>
      <c r="L19" s="7" t="s">
        <v>1333</v>
      </c>
    </row>
    <row r="20" spans="1:12" ht="30" customHeight="1" x14ac:dyDescent="0.25">
      <c r="A20" s="6" t="s">
        <v>1350</v>
      </c>
      <c r="B20" s="6" t="s">
        <v>106</v>
      </c>
      <c r="C20" s="7" t="s">
        <v>107</v>
      </c>
      <c r="D20" s="7" t="s">
        <v>741</v>
      </c>
      <c r="E20" s="7" t="s">
        <v>742</v>
      </c>
      <c r="F20" s="7"/>
      <c r="G20" s="7" t="s">
        <v>14</v>
      </c>
      <c r="H20" s="7" t="s">
        <v>49</v>
      </c>
      <c r="I20" s="7"/>
      <c r="J20" s="7" t="s">
        <v>48</v>
      </c>
      <c r="K20" s="7" t="s">
        <v>843</v>
      </c>
      <c r="L20" s="7" t="s">
        <v>1333</v>
      </c>
    </row>
    <row r="21" spans="1:12" ht="30" customHeight="1" x14ac:dyDescent="0.25">
      <c r="A21" s="6" t="s">
        <v>1351</v>
      </c>
      <c r="B21" s="6" t="s">
        <v>111</v>
      </c>
      <c r="C21" s="7" t="s">
        <v>112</v>
      </c>
      <c r="D21" s="7" t="s">
        <v>744</v>
      </c>
      <c r="E21" s="7" t="s">
        <v>745</v>
      </c>
      <c r="F21" s="7"/>
      <c r="G21" s="7" t="s">
        <v>14</v>
      </c>
      <c r="H21" s="7" t="s">
        <v>67</v>
      </c>
      <c r="I21" s="7"/>
      <c r="J21" s="7" t="s">
        <v>66</v>
      </c>
      <c r="K21" s="7" t="s">
        <v>115</v>
      </c>
      <c r="L21" s="7" t="s">
        <v>1333</v>
      </c>
    </row>
    <row r="22" spans="1:12" ht="30" customHeight="1" x14ac:dyDescent="0.25">
      <c r="A22" s="6" t="s">
        <v>1352</v>
      </c>
      <c r="B22" s="6" t="s">
        <v>116</v>
      </c>
      <c r="C22" s="7" t="s">
        <v>117</v>
      </c>
      <c r="D22" s="7" t="s">
        <v>744</v>
      </c>
      <c r="E22" s="7" t="s">
        <v>745</v>
      </c>
      <c r="F22" s="7"/>
      <c r="G22" s="7" t="s">
        <v>14</v>
      </c>
      <c r="H22" s="7" t="s">
        <v>49</v>
      </c>
      <c r="I22" s="7"/>
      <c r="J22" s="7" t="s">
        <v>48</v>
      </c>
      <c r="K22" s="7" t="s">
        <v>119</v>
      </c>
      <c r="L22" s="7" t="s">
        <v>1333</v>
      </c>
    </row>
    <row r="23" spans="1:12" ht="30" customHeight="1" x14ac:dyDescent="0.25">
      <c r="A23" s="6" t="s">
        <v>1353</v>
      </c>
      <c r="B23" s="6" t="s">
        <v>120</v>
      </c>
      <c r="C23" s="7" t="s">
        <v>121</v>
      </c>
      <c r="D23" s="7" t="s">
        <v>736</v>
      </c>
      <c r="E23" s="7" t="s">
        <v>737</v>
      </c>
      <c r="F23" s="7"/>
      <c r="G23" s="7" t="s">
        <v>14</v>
      </c>
      <c r="H23" s="7" t="s">
        <v>127</v>
      </c>
      <c r="I23" s="7"/>
      <c r="J23" s="7" t="s">
        <v>126</v>
      </c>
      <c r="K23" s="7" t="s">
        <v>864</v>
      </c>
      <c r="L23" s="7" t="s">
        <v>1333</v>
      </c>
    </row>
    <row r="24" spans="1:12" ht="30" customHeight="1" x14ac:dyDescent="0.25">
      <c r="A24" s="6" t="s">
        <v>1354</v>
      </c>
      <c r="B24" s="6" t="s">
        <v>129</v>
      </c>
      <c r="C24" s="7" t="s">
        <v>130</v>
      </c>
      <c r="D24" s="7" t="s">
        <v>736</v>
      </c>
      <c r="E24" s="7" t="s">
        <v>737</v>
      </c>
      <c r="F24" s="7"/>
      <c r="G24" s="7" t="s">
        <v>14</v>
      </c>
      <c r="H24" s="7" t="s">
        <v>127</v>
      </c>
      <c r="I24" s="7"/>
      <c r="J24" s="7" t="s">
        <v>126</v>
      </c>
      <c r="K24" s="7" t="s">
        <v>133</v>
      </c>
      <c r="L24" s="7" t="s">
        <v>1333</v>
      </c>
    </row>
    <row r="25" spans="1:12" ht="30" customHeight="1" x14ac:dyDescent="0.25">
      <c r="A25" s="6" t="s">
        <v>1355</v>
      </c>
      <c r="B25" s="6" t="s">
        <v>134</v>
      </c>
      <c r="C25" s="7" t="s">
        <v>135</v>
      </c>
      <c r="D25" s="7" t="s">
        <v>736</v>
      </c>
      <c r="E25" s="7" t="s">
        <v>737</v>
      </c>
      <c r="F25" s="7"/>
      <c r="G25" s="7" t="s">
        <v>13</v>
      </c>
      <c r="H25" s="7" t="s">
        <v>109</v>
      </c>
      <c r="I25" s="7"/>
      <c r="J25" s="7" t="s">
        <v>66</v>
      </c>
      <c r="K25" s="7" t="s">
        <v>871</v>
      </c>
      <c r="L25" s="7" t="s">
        <v>1333</v>
      </c>
    </row>
    <row r="26" spans="1:12" ht="30" customHeight="1" x14ac:dyDescent="0.25">
      <c r="A26" s="6" t="s">
        <v>1356</v>
      </c>
      <c r="B26" s="6" t="s">
        <v>138</v>
      </c>
      <c r="C26" s="7" t="s">
        <v>139</v>
      </c>
      <c r="D26" s="7" t="s">
        <v>698</v>
      </c>
      <c r="E26" s="7" t="s">
        <v>699</v>
      </c>
      <c r="F26" s="7" t="s">
        <v>1338</v>
      </c>
      <c r="G26" s="7" t="s">
        <v>13</v>
      </c>
      <c r="H26" s="7" t="s">
        <v>109</v>
      </c>
      <c r="I26" s="7" t="s">
        <v>1339</v>
      </c>
      <c r="J26" s="7" t="s">
        <v>48</v>
      </c>
      <c r="K26" s="7" t="s">
        <v>142</v>
      </c>
      <c r="L26" s="7" t="s">
        <v>1333</v>
      </c>
    </row>
    <row r="27" spans="1:12" ht="30" customHeight="1" x14ac:dyDescent="0.25">
      <c r="A27" s="6" t="s">
        <v>1357</v>
      </c>
      <c r="B27" s="6" t="s">
        <v>138</v>
      </c>
      <c r="C27" s="7" t="s">
        <v>139</v>
      </c>
      <c r="D27" s="7" t="s">
        <v>736</v>
      </c>
      <c r="E27" s="7" t="s">
        <v>737</v>
      </c>
      <c r="F27" s="7"/>
      <c r="G27" s="7" t="s">
        <v>14</v>
      </c>
      <c r="H27" s="7" t="s">
        <v>49</v>
      </c>
      <c r="I27" s="7"/>
      <c r="J27" s="7" t="s">
        <v>66</v>
      </c>
      <c r="K27" s="7" t="s">
        <v>142</v>
      </c>
      <c r="L27" s="7" t="s">
        <v>1333</v>
      </c>
    </row>
    <row r="28" spans="1:12" ht="30" customHeight="1" x14ac:dyDescent="0.25">
      <c r="A28" s="6" t="s">
        <v>1358</v>
      </c>
      <c r="B28" s="6" t="s">
        <v>143</v>
      </c>
      <c r="C28" s="7" t="s">
        <v>144</v>
      </c>
      <c r="D28" s="7" t="s">
        <v>698</v>
      </c>
      <c r="E28" s="7" t="s">
        <v>699</v>
      </c>
      <c r="F28" s="7" t="s">
        <v>1338</v>
      </c>
      <c r="G28" s="7" t="s">
        <v>13</v>
      </c>
      <c r="H28" s="7" t="s">
        <v>109</v>
      </c>
      <c r="I28" s="7" t="s">
        <v>1339</v>
      </c>
      <c r="J28" s="7" t="s">
        <v>48</v>
      </c>
      <c r="K28" s="7" t="s">
        <v>147</v>
      </c>
      <c r="L28" s="7" t="s">
        <v>1333</v>
      </c>
    </row>
    <row r="29" spans="1:12" ht="30" customHeight="1" x14ac:dyDescent="0.25">
      <c r="A29" s="6" t="s">
        <v>1359</v>
      </c>
      <c r="B29" s="6" t="s">
        <v>143</v>
      </c>
      <c r="C29" s="7" t="s">
        <v>144</v>
      </c>
      <c r="D29" s="7" t="s">
        <v>736</v>
      </c>
      <c r="E29" s="7" t="s">
        <v>737</v>
      </c>
      <c r="F29" s="7"/>
      <c r="G29" s="7" t="s">
        <v>14</v>
      </c>
      <c r="H29" s="7" t="s">
        <v>49</v>
      </c>
      <c r="I29" s="7"/>
      <c r="J29" s="7" t="s">
        <v>66</v>
      </c>
      <c r="K29" s="7" t="s">
        <v>878</v>
      </c>
      <c r="L29" s="7" t="s">
        <v>1333</v>
      </c>
    </row>
    <row r="30" spans="1:12" ht="30" customHeight="1" x14ac:dyDescent="0.25">
      <c r="A30" s="6" t="s">
        <v>1360</v>
      </c>
      <c r="B30" s="6" t="s">
        <v>148</v>
      </c>
      <c r="C30" s="7" t="s">
        <v>149</v>
      </c>
      <c r="D30" s="7" t="s">
        <v>703</v>
      </c>
      <c r="E30" s="7" t="s">
        <v>610</v>
      </c>
      <c r="F30" s="7"/>
      <c r="G30" s="7" t="s">
        <v>13</v>
      </c>
      <c r="H30" s="7" t="s">
        <v>109</v>
      </c>
      <c r="I30" s="7"/>
      <c r="J30" s="7" t="s">
        <v>48</v>
      </c>
      <c r="K30" s="7" t="s">
        <v>884</v>
      </c>
      <c r="L30" s="7" t="s">
        <v>1333</v>
      </c>
    </row>
    <row r="31" spans="1:12" ht="30" customHeight="1" x14ac:dyDescent="0.25">
      <c r="A31" s="6" t="s">
        <v>1361</v>
      </c>
      <c r="B31" s="6" t="s">
        <v>153</v>
      </c>
      <c r="C31" s="7" t="s">
        <v>154</v>
      </c>
      <c r="D31" s="7" t="s">
        <v>703</v>
      </c>
      <c r="E31" s="7" t="s">
        <v>610</v>
      </c>
      <c r="F31" s="7"/>
      <c r="G31" s="7" t="s">
        <v>14</v>
      </c>
      <c r="H31" s="7" t="s">
        <v>49</v>
      </c>
      <c r="I31" s="7"/>
      <c r="J31" s="7" t="s">
        <v>48</v>
      </c>
      <c r="K31" s="7" t="s">
        <v>892</v>
      </c>
      <c r="L31" s="7" t="s">
        <v>1333</v>
      </c>
    </row>
    <row r="32" spans="1:12" ht="30" customHeight="1" x14ac:dyDescent="0.25">
      <c r="A32" s="6" t="s">
        <v>1362</v>
      </c>
      <c r="B32" s="6" t="s">
        <v>153</v>
      </c>
      <c r="C32" s="7" t="s">
        <v>154</v>
      </c>
      <c r="D32" s="7" t="s">
        <v>706</v>
      </c>
      <c r="E32" s="7" t="s">
        <v>707</v>
      </c>
      <c r="F32" s="7"/>
      <c r="G32" s="7" t="s">
        <v>14</v>
      </c>
      <c r="H32" s="7" t="s">
        <v>49</v>
      </c>
      <c r="I32" s="7"/>
      <c r="J32" s="7" t="s">
        <v>48</v>
      </c>
      <c r="K32" s="7" t="s">
        <v>892</v>
      </c>
      <c r="L32" s="7" t="s">
        <v>1333</v>
      </c>
    </row>
    <row r="33" spans="1:12" ht="30" customHeight="1" x14ac:dyDescent="0.25">
      <c r="A33" s="6" t="s">
        <v>1363</v>
      </c>
      <c r="B33" s="6" t="s">
        <v>509</v>
      </c>
      <c r="C33" s="7" t="s">
        <v>510</v>
      </c>
      <c r="D33" s="7" t="s">
        <v>718</v>
      </c>
      <c r="E33" s="7" t="s">
        <v>719</v>
      </c>
      <c r="F33" s="7" t="s">
        <v>1338</v>
      </c>
      <c r="G33" s="7" t="s">
        <v>13</v>
      </c>
      <c r="H33" s="7" t="s">
        <v>109</v>
      </c>
      <c r="I33" s="7" t="s">
        <v>1339</v>
      </c>
      <c r="J33" s="7" t="s">
        <v>66</v>
      </c>
      <c r="K33" s="7" t="s">
        <v>509</v>
      </c>
      <c r="L33" s="7" t="s">
        <v>1333</v>
      </c>
    </row>
    <row r="34" spans="1:12" ht="30" customHeight="1" x14ac:dyDescent="0.25">
      <c r="A34" s="6" t="s">
        <v>1364</v>
      </c>
      <c r="B34" s="6" t="s">
        <v>509</v>
      </c>
      <c r="C34" s="7" t="s">
        <v>510</v>
      </c>
      <c r="D34" s="7" t="s">
        <v>713</v>
      </c>
      <c r="E34" s="7" t="s">
        <v>714</v>
      </c>
      <c r="F34" s="7"/>
      <c r="G34" s="7" t="s">
        <v>14</v>
      </c>
      <c r="H34" s="7" t="s">
        <v>49</v>
      </c>
      <c r="I34" s="7"/>
      <c r="J34" s="7" t="s">
        <v>66</v>
      </c>
      <c r="K34" s="7" t="s">
        <v>509</v>
      </c>
      <c r="L34" s="7" t="s">
        <v>1333</v>
      </c>
    </row>
    <row r="35" spans="1:12" ht="30" customHeight="1" x14ac:dyDescent="0.25">
      <c r="A35" s="6" t="s">
        <v>1365</v>
      </c>
      <c r="B35" s="6" t="s">
        <v>509</v>
      </c>
      <c r="C35" s="7" t="s">
        <v>510</v>
      </c>
      <c r="D35" s="7" t="s">
        <v>722</v>
      </c>
      <c r="E35" s="7" t="s">
        <v>553</v>
      </c>
      <c r="F35" s="7"/>
      <c r="G35" s="7" t="s">
        <v>14</v>
      </c>
      <c r="H35" s="7" t="s">
        <v>49</v>
      </c>
      <c r="I35" s="7"/>
      <c r="J35" s="7" t="s">
        <v>66</v>
      </c>
      <c r="K35" s="7" t="s">
        <v>509</v>
      </c>
      <c r="L35" s="7" t="s">
        <v>1333</v>
      </c>
    </row>
    <row r="36" spans="1:12" ht="30" customHeight="1" x14ac:dyDescent="0.25">
      <c r="A36" s="6" t="s">
        <v>1366</v>
      </c>
      <c r="B36" s="6" t="s">
        <v>509</v>
      </c>
      <c r="C36" s="7" t="s">
        <v>510</v>
      </c>
      <c r="D36" s="7" t="s">
        <v>725</v>
      </c>
      <c r="E36" s="7" t="s">
        <v>726</v>
      </c>
      <c r="F36" s="7"/>
      <c r="G36" s="7" t="s">
        <v>14</v>
      </c>
      <c r="H36" s="7" t="s">
        <v>49</v>
      </c>
      <c r="I36" s="7"/>
      <c r="J36" s="7" t="s">
        <v>66</v>
      </c>
      <c r="K36" s="7" t="s">
        <v>509</v>
      </c>
      <c r="L36" s="7" t="s">
        <v>1333</v>
      </c>
    </row>
    <row r="37" spans="1:12" ht="30" customHeight="1" x14ac:dyDescent="0.25">
      <c r="A37" s="6" t="s">
        <v>1367</v>
      </c>
      <c r="B37" s="6" t="s">
        <v>509</v>
      </c>
      <c r="C37" s="7" t="s">
        <v>510</v>
      </c>
      <c r="D37" s="7" t="s">
        <v>729</v>
      </c>
      <c r="E37" s="7" t="s">
        <v>730</v>
      </c>
      <c r="F37" s="7"/>
      <c r="G37" s="7" t="s">
        <v>14</v>
      </c>
      <c r="H37" s="7" t="s">
        <v>49</v>
      </c>
      <c r="I37" s="7"/>
      <c r="J37" s="7" t="s">
        <v>66</v>
      </c>
      <c r="K37" s="7" t="s">
        <v>509</v>
      </c>
      <c r="L37" s="7" t="s">
        <v>1333</v>
      </c>
    </row>
    <row r="38" spans="1:12" ht="30" customHeight="1" x14ac:dyDescent="0.25">
      <c r="A38" s="6" t="s">
        <v>1368</v>
      </c>
      <c r="B38" s="6" t="s">
        <v>509</v>
      </c>
      <c r="C38" s="7" t="s">
        <v>510</v>
      </c>
      <c r="D38" s="7" t="s">
        <v>733</v>
      </c>
      <c r="E38" s="7" t="s">
        <v>734</v>
      </c>
      <c r="F38" s="7"/>
      <c r="G38" s="7" t="s">
        <v>14</v>
      </c>
      <c r="H38" s="7" t="s">
        <v>49</v>
      </c>
      <c r="I38" s="7"/>
      <c r="J38" s="7" t="s">
        <v>66</v>
      </c>
      <c r="K38" s="7" t="s">
        <v>509</v>
      </c>
      <c r="L38" s="7" t="s">
        <v>1333</v>
      </c>
    </row>
    <row r="39" spans="1:12" ht="30" customHeight="1" x14ac:dyDescent="0.25">
      <c r="A39" s="6" t="s">
        <v>1369</v>
      </c>
      <c r="B39" s="6" t="s">
        <v>515</v>
      </c>
      <c r="C39" s="7" t="s">
        <v>516</v>
      </c>
      <c r="D39" s="7" t="s">
        <v>698</v>
      </c>
      <c r="E39" s="7" t="s">
        <v>699</v>
      </c>
      <c r="F39" s="7" t="s">
        <v>1338</v>
      </c>
      <c r="G39" s="7" t="s">
        <v>13</v>
      </c>
      <c r="H39" s="7" t="s">
        <v>58</v>
      </c>
      <c r="I39" s="7" t="s">
        <v>1339</v>
      </c>
      <c r="J39" s="7" t="s">
        <v>48</v>
      </c>
      <c r="K39" s="7" t="s">
        <v>515</v>
      </c>
      <c r="L39" s="7" t="s">
        <v>1333</v>
      </c>
    </row>
    <row r="40" spans="1:12" ht="30" customHeight="1" x14ac:dyDescent="0.25">
      <c r="A40" s="6" t="s">
        <v>1370</v>
      </c>
      <c r="B40" s="6" t="s">
        <v>521</v>
      </c>
      <c r="C40" s="7" t="s">
        <v>522</v>
      </c>
      <c r="D40" s="7" t="s">
        <v>762</v>
      </c>
      <c r="E40" s="7" t="s">
        <v>710</v>
      </c>
      <c r="F40" s="7" t="s">
        <v>1371</v>
      </c>
      <c r="G40" s="7" t="s">
        <v>13</v>
      </c>
      <c r="H40" s="7" t="s">
        <v>58</v>
      </c>
      <c r="I40" s="7" t="s">
        <v>1339</v>
      </c>
      <c r="J40" s="7" t="s">
        <v>66</v>
      </c>
      <c r="K40" s="7" t="s">
        <v>521</v>
      </c>
      <c r="L40" s="7" t="s">
        <v>1333</v>
      </c>
    </row>
    <row r="41" spans="1:12" ht="30" customHeight="1" x14ac:dyDescent="0.25">
      <c r="A41" s="6" t="s">
        <v>1372</v>
      </c>
      <c r="B41" s="6" t="s">
        <v>524</v>
      </c>
      <c r="C41" s="7" t="s">
        <v>525</v>
      </c>
      <c r="D41" s="7" t="s">
        <v>698</v>
      </c>
      <c r="E41" s="7" t="s">
        <v>699</v>
      </c>
      <c r="F41" s="7" t="s">
        <v>1338</v>
      </c>
      <c r="G41" s="7" t="s">
        <v>13</v>
      </c>
      <c r="H41" s="7" t="s">
        <v>109</v>
      </c>
      <c r="I41" s="7" t="s">
        <v>1339</v>
      </c>
      <c r="J41" s="7" t="s">
        <v>48</v>
      </c>
      <c r="K41" s="7" t="s">
        <v>907</v>
      </c>
      <c r="L41" s="7" t="s">
        <v>1333</v>
      </c>
    </row>
    <row r="42" spans="1:12" ht="30" customHeight="1" x14ac:dyDescent="0.25">
      <c r="A42" s="6" t="s">
        <v>1373</v>
      </c>
      <c r="B42" s="6" t="s">
        <v>530</v>
      </c>
      <c r="C42" s="7" t="s">
        <v>531</v>
      </c>
      <c r="D42" s="7" t="s">
        <v>698</v>
      </c>
      <c r="E42" s="7" t="s">
        <v>699</v>
      </c>
      <c r="F42" s="7" t="s">
        <v>1338</v>
      </c>
      <c r="G42" s="7" t="s">
        <v>13</v>
      </c>
      <c r="H42" s="7" t="s">
        <v>109</v>
      </c>
      <c r="I42" s="7" t="s">
        <v>1339</v>
      </c>
      <c r="J42" s="7" t="s">
        <v>48</v>
      </c>
      <c r="K42" s="7" t="s">
        <v>535</v>
      </c>
      <c r="L42" s="7" t="s">
        <v>1333</v>
      </c>
    </row>
    <row r="43" spans="1:12" ht="30" customHeight="1" x14ac:dyDescent="0.25">
      <c r="A43" s="6" t="s">
        <v>1374</v>
      </c>
      <c r="B43" s="6" t="s">
        <v>536</v>
      </c>
      <c r="C43" s="7" t="s">
        <v>537</v>
      </c>
      <c r="D43" s="7" t="s">
        <v>713</v>
      </c>
      <c r="E43" s="7" t="s">
        <v>714</v>
      </c>
      <c r="F43" s="7"/>
      <c r="G43" s="7" t="s">
        <v>13</v>
      </c>
      <c r="H43" s="7" t="s">
        <v>109</v>
      </c>
      <c r="I43" s="7"/>
      <c r="J43" s="7" t="s">
        <v>48</v>
      </c>
      <c r="K43" s="7" t="s">
        <v>915</v>
      </c>
      <c r="L43" s="7" t="s">
        <v>1333</v>
      </c>
    </row>
    <row r="44" spans="1:12" ht="30" customHeight="1" x14ac:dyDescent="0.25">
      <c r="A44" s="6" t="s">
        <v>1375</v>
      </c>
      <c r="B44" s="6" t="s">
        <v>542</v>
      </c>
      <c r="C44" s="7" t="s">
        <v>543</v>
      </c>
      <c r="D44" s="7" t="s">
        <v>698</v>
      </c>
      <c r="E44" s="7" t="s">
        <v>699</v>
      </c>
      <c r="F44" s="7" t="s">
        <v>1338</v>
      </c>
      <c r="G44" s="7" t="s">
        <v>13</v>
      </c>
      <c r="H44" s="7" t="s">
        <v>109</v>
      </c>
      <c r="I44" s="7" t="s">
        <v>1339</v>
      </c>
      <c r="J44" s="7" t="s">
        <v>48</v>
      </c>
      <c r="K44" s="7" t="s">
        <v>1376</v>
      </c>
      <c r="L44" s="7" t="s">
        <v>1333</v>
      </c>
    </row>
    <row r="45" spans="1:12" ht="30" customHeight="1" x14ac:dyDescent="0.25">
      <c r="A45" s="6" t="s">
        <v>1377</v>
      </c>
      <c r="B45" s="6" t="s">
        <v>546</v>
      </c>
      <c r="C45" s="7" t="s">
        <v>547</v>
      </c>
      <c r="D45" s="7" t="s">
        <v>722</v>
      </c>
      <c r="E45" s="7" t="s">
        <v>553</v>
      </c>
      <c r="F45" s="7"/>
      <c r="G45" s="7" t="s">
        <v>14</v>
      </c>
      <c r="H45" s="7" t="s">
        <v>49</v>
      </c>
      <c r="I45" s="7"/>
      <c r="J45" s="7" t="s">
        <v>48</v>
      </c>
      <c r="K45" s="7" t="s">
        <v>546</v>
      </c>
      <c r="L45" s="7" t="s">
        <v>1333</v>
      </c>
    </row>
    <row r="46" spans="1:12" ht="30" customHeight="1" x14ac:dyDescent="0.25">
      <c r="A46" s="6" t="s">
        <v>1378</v>
      </c>
      <c r="B46" s="6" t="s">
        <v>551</v>
      </c>
      <c r="C46" s="7" t="s">
        <v>552</v>
      </c>
      <c r="D46" s="7" t="s">
        <v>722</v>
      </c>
      <c r="E46" s="7" t="s">
        <v>553</v>
      </c>
      <c r="F46" s="7"/>
      <c r="G46" s="7" t="s">
        <v>14</v>
      </c>
      <c r="H46" s="7" t="s">
        <v>49</v>
      </c>
      <c r="I46" s="7"/>
      <c r="J46" s="7" t="s">
        <v>48</v>
      </c>
      <c r="K46" s="7" t="s">
        <v>551</v>
      </c>
      <c r="L46" s="7" t="s">
        <v>1333</v>
      </c>
    </row>
    <row r="47" spans="1:12" ht="30" customHeight="1" x14ac:dyDescent="0.25">
      <c r="A47" s="6" t="s">
        <v>1379</v>
      </c>
      <c r="B47" s="6" t="s">
        <v>554</v>
      </c>
      <c r="C47" s="7" t="s">
        <v>555</v>
      </c>
      <c r="D47" s="7" t="s">
        <v>747</v>
      </c>
      <c r="E47" s="7" t="s">
        <v>558</v>
      </c>
      <c r="F47" s="7"/>
      <c r="G47" s="7" t="s">
        <v>14</v>
      </c>
      <c r="H47" s="7" t="s">
        <v>49</v>
      </c>
      <c r="I47" s="7"/>
      <c r="J47" s="7" t="s">
        <v>48</v>
      </c>
      <c r="K47" s="7" t="s">
        <v>926</v>
      </c>
      <c r="L47" s="7" t="s">
        <v>1333</v>
      </c>
    </row>
    <row r="48" spans="1:12" ht="30" customHeight="1" x14ac:dyDescent="0.25">
      <c r="A48" s="6" t="s">
        <v>1380</v>
      </c>
      <c r="B48" s="6" t="s">
        <v>554</v>
      </c>
      <c r="C48" s="7" t="s">
        <v>555</v>
      </c>
      <c r="D48" s="7" t="s">
        <v>762</v>
      </c>
      <c r="E48" s="7" t="s">
        <v>710</v>
      </c>
      <c r="F48" s="7" t="s">
        <v>1371</v>
      </c>
      <c r="G48" s="7" t="s">
        <v>13</v>
      </c>
      <c r="H48" s="7" t="s">
        <v>58</v>
      </c>
      <c r="I48" s="7" t="s">
        <v>1339</v>
      </c>
      <c r="J48" s="7" t="s">
        <v>48</v>
      </c>
      <c r="K48" s="7" t="s">
        <v>554</v>
      </c>
      <c r="L48" s="7" t="s">
        <v>1333</v>
      </c>
    </row>
    <row r="49" spans="1:12" ht="30" customHeight="1" x14ac:dyDescent="0.25">
      <c r="A49" s="6" t="s">
        <v>1381</v>
      </c>
      <c r="B49" s="6" t="s">
        <v>557</v>
      </c>
      <c r="C49" s="7" t="s">
        <v>558</v>
      </c>
      <c r="D49" s="7" t="s">
        <v>747</v>
      </c>
      <c r="E49" s="7" t="s">
        <v>558</v>
      </c>
      <c r="F49" s="7"/>
      <c r="G49" s="7" t="s">
        <v>14</v>
      </c>
      <c r="H49" s="7" t="s">
        <v>49</v>
      </c>
      <c r="I49" s="7"/>
      <c r="J49" s="7" t="s">
        <v>48</v>
      </c>
      <c r="K49" s="7" t="s">
        <v>557</v>
      </c>
      <c r="L49" s="7" t="s">
        <v>1333</v>
      </c>
    </row>
    <row r="50" spans="1:12" ht="30" customHeight="1" x14ac:dyDescent="0.25">
      <c r="A50" s="6" t="s">
        <v>1382</v>
      </c>
      <c r="B50" s="6" t="s">
        <v>561</v>
      </c>
      <c r="C50" s="7" t="s">
        <v>562</v>
      </c>
      <c r="D50" s="7" t="s">
        <v>698</v>
      </c>
      <c r="E50" s="7" t="s">
        <v>699</v>
      </c>
      <c r="F50" s="7" t="s">
        <v>1338</v>
      </c>
      <c r="G50" s="7" t="s">
        <v>13</v>
      </c>
      <c r="H50" s="7" t="s">
        <v>58</v>
      </c>
      <c r="I50" s="7" t="s">
        <v>1339</v>
      </c>
      <c r="J50" s="7" t="s">
        <v>126</v>
      </c>
      <c r="K50" s="7" t="s">
        <v>561</v>
      </c>
      <c r="L50" s="7" t="s">
        <v>1333</v>
      </c>
    </row>
    <row r="51" spans="1:12" ht="30" customHeight="1" x14ac:dyDescent="0.25">
      <c r="A51" s="6" t="s">
        <v>1383</v>
      </c>
      <c r="B51" s="6" t="s">
        <v>567</v>
      </c>
      <c r="C51" s="7" t="s">
        <v>568</v>
      </c>
      <c r="D51" s="7" t="s">
        <v>752</v>
      </c>
      <c r="E51" s="7" t="s">
        <v>753</v>
      </c>
      <c r="F51" s="7"/>
      <c r="G51" s="7" t="s">
        <v>14</v>
      </c>
      <c r="H51" s="7" t="s">
        <v>127</v>
      </c>
      <c r="I51" s="7"/>
      <c r="J51" s="7" t="s">
        <v>66</v>
      </c>
      <c r="K51" s="7" t="s">
        <v>567</v>
      </c>
      <c r="L51" s="7" t="s">
        <v>1333</v>
      </c>
    </row>
    <row r="52" spans="1:12" ht="30" customHeight="1" x14ac:dyDescent="0.25">
      <c r="A52" s="6" t="s">
        <v>1384</v>
      </c>
      <c r="B52" s="6" t="s">
        <v>580</v>
      </c>
      <c r="C52" s="7" t="s">
        <v>581</v>
      </c>
      <c r="D52" s="7" t="s">
        <v>771</v>
      </c>
      <c r="E52" s="7" t="s">
        <v>772</v>
      </c>
      <c r="F52" s="7" t="s">
        <v>1338</v>
      </c>
      <c r="G52" s="7" t="s">
        <v>14</v>
      </c>
      <c r="H52" s="7" t="s">
        <v>67</v>
      </c>
      <c r="I52" s="7" t="s">
        <v>1385</v>
      </c>
      <c r="J52" s="7" t="s">
        <v>48</v>
      </c>
      <c r="K52" s="7"/>
      <c r="L52" s="7" t="s">
        <v>1333</v>
      </c>
    </row>
    <row r="53" spans="1:12" ht="30" customHeight="1" x14ac:dyDescent="0.25">
      <c r="A53" s="6" t="s">
        <v>1386</v>
      </c>
      <c r="B53" s="6" t="s">
        <v>158</v>
      </c>
      <c r="C53" s="7" t="s">
        <v>159</v>
      </c>
      <c r="D53" s="7" t="s">
        <v>703</v>
      </c>
      <c r="E53" s="7" t="s">
        <v>610</v>
      </c>
      <c r="F53" s="7"/>
      <c r="G53" s="7" t="s">
        <v>14</v>
      </c>
      <c r="H53" s="7" t="s">
        <v>49</v>
      </c>
      <c r="I53" s="7"/>
      <c r="J53" s="7" t="s">
        <v>48</v>
      </c>
      <c r="K53" s="7" t="s">
        <v>74</v>
      </c>
      <c r="L53" s="7" t="s">
        <v>1333</v>
      </c>
    </row>
    <row r="54" spans="1:12" ht="30" customHeight="1" x14ac:dyDescent="0.25">
      <c r="A54" s="6" t="s">
        <v>1387</v>
      </c>
      <c r="B54" s="6" t="s">
        <v>161</v>
      </c>
      <c r="C54" s="7" t="s">
        <v>162</v>
      </c>
      <c r="D54" s="7" t="s">
        <v>703</v>
      </c>
      <c r="E54" s="7" t="s">
        <v>610</v>
      </c>
      <c r="F54" s="7"/>
      <c r="G54" s="7" t="s">
        <v>14</v>
      </c>
      <c r="H54" s="7" t="s">
        <v>49</v>
      </c>
      <c r="I54" s="7"/>
      <c r="J54" s="7" t="s">
        <v>48</v>
      </c>
      <c r="K54" s="7" t="s">
        <v>74</v>
      </c>
      <c r="L54" s="7" t="s">
        <v>1333</v>
      </c>
    </row>
    <row r="55" spans="1:12" ht="30" customHeight="1" x14ac:dyDescent="0.25">
      <c r="A55" s="6" t="s">
        <v>1388</v>
      </c>
      <c r="B55" s="6" t="s">
        <v>165</v>
      </c>
      <c r="C55" s="7" t="s">
        <v>166</v>
      </c>
      <c r="D55" s="7" t="s">
        <v>698</v>
      </c>
      <c r="E55" s="7" t="s">
        <v>699</v>
      </c>
      <c r="F55" s="7" t="s">
        <v>1389</v>
      </c>
      <c r="G55" s="7" t="s">
        <v>13</v>
      </c>
      <c r="H55" s="7" t="s">
        <v>58</v>
      </c>
      <c r="I55" s="7" t="s">
        <v>1339</v>
      </c>
      <c r="J55" s="7" t="s">
        <v>48</v>
      </c>
      <c r="K55" s="7" t="s">
        <v>74</v>
      </c>
      <c r="L55" s="7" t="s">
        <v>1333</v>
      </c>
    </row>
    <row r="56" spans="1:12" ht="30" customHeight="1" x14ac:dyDescent="0.25">
      <c r="A56" s="6" t="s">
        <v>1390</v>
      </c>
      <c r="B56" s="6" t="s">
        <v>165</v>
      </c>
      <c r="C56" s="7" t="s">
        <v>166</v>
      </c>
      <c r="D56" s="7" t="s">
        <v>703</v>
      </c>
      <c r="E56" s="7" t="s">
        <v>610</v>
      </c>
      <c r="F56" s="7"/>
      <c r="G56" s="7" t="s">
        <v>14</v>
      </c>
      <c r="H56" s="7" t="s">
        <v>49</v>
      </c>
      <c r="I56" s="7"/>
      <c r="J56" s="7" t="s">
        <v>48</v>
      </c>
      <c r="K56" s="7" t="s">
        <v>74</v>
      </c>
      <c r="L56" s="7" t="s">
        <v>1333</v>
      </c>
    </row>
    <row r="57" spans="1:12" ht="30" customHeight="1" x14ac:dyDescent="0.25">
      <c r="A57" s="6" t="s">
        <v>1391</v>
      </c>
      <c r="B57" s="6" t="s">
        <v>169</v>
      </c>
      <c r="C57" s="7" t="s">
        <v>170</v>
      </c>
      <c r="D57" s="7" t="s">
        <v>703</v>
      </c>
      <c r="E57" s="7" t="s">
        <v>610</v>
      </c>
      <c r="F57" s="7"/>
      <c r="G57" s="7" t="s">
        <v>14</v>
      </c>
      <c r="H57" s="7" t="s">
        <v>49</v>
      </c>
      <c r="I57" s="7"/>
      <c r="J57" s="7" t="s">
        <v>48</v>
      </c>
      <c r="K57" s="7" t="s">
        <v>74</v>
      </c>
      <c r="L57" s="7" t="s">
        <v>1333</v>
      </c>
    </row>
    <row r="58" spans="1:12" ht="30" customHeight="1" x14ac:dyDescent="0.25">
      <c r="A58" s="6" t="s">
        <v>1392</v>
      </c>
      <c r="B58" s="6" t="s">
        <v>173</v>
      </c>
      <c r="C58" s="7" t="s">
        <v>174</v>
      </c>
      <c r="D58" s="7" t="s">
        <v>703</v>
      </c>
      <c r="E58" s="7" t="s">
        <v>610</v>
      </c>
      <c r="F58" s="7"/>
      <c r="G58" s="7" t="s">
        <v>14</v>
      </c>
      <c r="H58" s="7" t="s">
        <v>49</v>
      </c>
      <c r="I58" s="7"/>
      <c r="J58" s="7" t="s">
        <v>48</v>
      </c>
      <c r="K58" s="7" t="s">
        <v>74</v>
      </c>
      <c r="L58" s="7" t="s">
        <v>1333</v>
      </c>
    </row>
    <row r="59" spans="1:12" ht="30" customHeight="1" x14ac:dyDescent="0.25">
      <c r="A59" s="6" t="s">
        <v>1393</v>
      </c>
      <c r="B59" s="6" t="s">
        <v>176</v>
      </c>
      <c r="C59" s="7" t="s">
        <v>177</v>
      </c>
      <c r="D59" s="7" t="s">
        <v>698</v>
      </c>
      <c r="E59" s="7" t="s">
        <v>699</v>
      </c>
      <c r="F59" s="7" t="s">
        <v>1389</v>
      </c>
      <c r="G59" s="7" t="s">
        <v>13</v>
      </c>
      <c r="H59" s="7" t="s">
        <v>58</v>
      </c>
      <c r="I59" s="7" t="s">
        <v>1339</v>
      </c>
      <c r="J59" s="7" t="s">
        <v>66</v>
      </c>
      <c r="K59" s="7" t="s">
        <v>74</v>
      </c>
      <c r="L59" s="7" t="s">
        <v>1333</v>
      </c>
    </row>
    <row r="60" spans="1:12" ht="30" customHeight="1" x14ac:dyDescent="0.25">
      <c r="A60" s="6" t="s">
        <v>1394</v>
      </c>
      <c r="B60" s="6" t="s">
        <v>180</v>
      </c>
      <c r="C60" s="7" t="s">
        <v>181</v>
      </c>
      <c r="D60" s="7" t="s">
        <v>703</v>
      </c>
      <c r="E60" s="7" t="s">
        <v>610</v>
      </c>
      <c r="F60" s="7"/>
      <c r="G60" s="7" t="s">
        <v>14</v>
      </c>
      <c r="H60" s="7" t="s">
        <v>49</v>
      </c>
      <c r="I60" s="7"/>
      <c r="J60" s="7" t="s">
        <v>48</v>
      </c>
      <c r="K60" s="7" t="s">
        <v>74</v>
      </c>
      <c r="L60" s="7" t="s">
        <v>1333</v>
      </c>
    </row>
    <row r="61" spans="1:12" ht="30" customHeight="1" x14ac:dyDescent="0.25">
      <c r="A61" s="6" t="s">
        <v>1395</v>
      </c>
      <c r="B61" s="6" t="s">
        <v>183</v>
      </c>
      <c r="C61" s="7" t="s">
        <v>184</v>
      </c>
      <c r="D61" s="7" t="s">
        <v>698</v>
      </c>
      <c r="E61" s="7" t="s">
        <v>699</v>
      </c>
      <c r="F61" s="7"/>
      <c r="G61" s="7" t="s">
        <v>14</v>
      </c>
      <c r="H61" s="7" t="s">
        <v>49</v>
      </c>
      <c r="I61" s="7"/>
      <c r="J61" s="7" t="s">
        <v>48</v>
      </c>
      <c r="K61" s="7" t="s">
        <v>74</v>
      </c>
      <c r="L61" s="7" t="s">
        <v>1333</v>
      </c>
    </row>
    <row r="62" spans="1:12" ht="30" customHeight="1" x14ac:dyDescent="0.25">
      <c r="A62" s="6" t="s">
        <v>1396</v>
      </c>
      <c r="B62" s="6" t="s">
        <v>183</v>
      </c>
      <c r="C62" s="7" t="s">
        <v>184</v>
      </c>
      <c r="D62" s="7" t="s">
        <v>703</v>
      </c>
      <c r="E62" s="7" t="s">
        <v>610</v>
      </c>
      <c r="F62" s="7"/>
      <c r="G62" s="7" t="s">
        <v>14</v>
      </c>
      <c r="H62" s="7" t="s">
        <v>49</v>
      </c>
      <c r="I62" s="7"/>
      <c r="J62" s="7" t="s">
        <v>48</v>
      </c>
      <c r="K62" s="7" t="s">
        <v>74</v>
      </c>
      <c r="L62" s="7" t="s">
        <v>1333</v>
      </c>
    </row>
    <row r="63" spans="1:12" ht="30" customHeight="1" x14ac:dyDescent="0.25">
      <c r="A63" s="6" t="s">
        <v>1397</v>
      </c>
      <c r="B63" s="6" t="s">
        <v>188</v>
      </c>
      <c r="C63" s="7" t="s">
        <v>189</v>
      </c>
      <c r="D63" s="7" t="s">
        <v>698</v>
      </c>
      <c r="E63" s="7" t="s">
        <v>699</v>
      </c>
      <c r="F63" s="7" t="s">
        <v>1338</v>
      </c>
      <c r="G63" s="7" t="s">
        <v>13</v>
      </c>
      <c r="H63" s="7" t="s">
        <v>58</v>
      </c>
      <c r="I63" s="7" t="s">
        <v>1339</v>
      </c>
      <c r="J63" s="7" t="s">
        <v>48</v>
      </c>
      <c r="K63" s="7" t="s">
        <v>74</v>
      </c>
      <c r="L63" s="7" t="s">
        <v>1333</v>
      </c>
    </row>
    <row r="64" spans="1:12" ht="30" customHeight="1" x14ac:dyDescent="0.25">
      <c r="A64" s="6" t="s">
        <v>1398</v>
      </c>
      <c r="B64" s="6" t="s">
        <v>188</v>
      </c>
      <c r="C64" s="7" t="s">
        <v>189</v>
      </c>
      <c r="D64" s="7" t="s">
        <v>703</v>
      </c>
      <c r="E64" s="7" t="s">
        <v>610</v>
      </c>
      <c r="F64" s="7"/>
      <c r="G64" s="7" t="s">
        <v>14</v>
      </c>
      <c r="H64" s="7" t="s">
        <v>49</v>
      </c>
      <c r="I64" s="7"/>
      <c r="J64" s="7" t="s">
        <v>48</v>
      </c>
      <c r="K64" s="7" t="s">
        <v>74</v>
      </c>
      <c r="L64" s="7" t="s">
        <v>1333</v>
      </c>
    </row>
    <row r="65" spans="1:12" ht="30" customHeight="1" x14ac:dyDescent="0.25">
      <c r="A65" s="6" t="s">
        <v>1399</v>
      </c>
      <c r="B65" s="6" t="s">
        <v>191</v>
      </c>
      <c r="C65" s="7" t="s">
        <v>192</v>
      </c>
      <c r="D65" s="7" t="s">
        <v>703</v>
      </c>
      <c r="E65" s="7" t="s">
        <v>610</v>
      </c>
      <c r="F65" s="7"/>
      <c r="G65" s="7" t="s">
        <v>14</v>
      </c>
      <c r="H65" s="7" t="s">
        <v>49</v>
      </c>
      <c r="I65" s="7"/>
      <c r="J65" s="7" t="s">
        <v>48</v>
      </c>
      <c r="K65" s="7" t="s">
        <v>74</v>
      </c>
      <c r="L65" s="7" t="s">
        <v>1333</v>
      </c>
    </row>
    <row r="66" spans="1:12" ht="30" customHeight="1" x14ac:dyDescent="0.25">
      <c r="A66" s="6" t="s">
        <v>1400</v>
      </c>
      <c r="B66" s="6" t="s">
        <v>194</v>
      </c>
      <c r="C66" s="7" t="s">
        <v>195</v>
      </c>
      <c r="D66" s="7" t="s">
        <v>703</v>
      </c>
      <c r="E66" s="7" t="s">
        <v>610</v>
      </c>
      <c r="F66" s="7"/>
      <c r="G66" s="7" t="s">
        <v>14</v>
      </c>
      <c r="H66" s="7" t="s">
        <v>49</v>
      </c>
      <c r="I66" s="7"/>
      <c r="J66" s="7" t="s">
        <v>48</v>
      </c>
      <c r="K66" s="7" t="s">
        <v>74</v>
      </c>
      <c r="L66" s="7" t="s">
        <v>1333</v>
      </c>
    </row>
    <row r="67" spans="1:12" ht="30" customHeight="1" x14ac:dyDescent="0.25">
      <c r="A67" s="6" t="s">
        <v>1401</v>
      </c>
      <c r="B67" s="6" t="s">
        <v>196</v>
      </c>
      <c r="C67" s="7" t="s">
        <v>197</v>
      </c>
      <c r="D67" s="7" t="s">
        <v>703</v>
      </c>
      <c r="E67" s="7" t="s">
        <v>610</v>
      </c>
      <c r="F67" s="7"/>
      <c r="G67" s="7" t="s">
        <v>14</v>
      </c>
      <c r="H67" s="7" t="s">
        <v>49</v>
      </c>
      <c r="I67" s="7"/>
      <c r="J67" s="7" t="s">
        <v>48</v>
      </c>
      <c r="K67" s="7" t="s">
        <v>74</v>
      </c>
      <c r="L67" s="7" t="s">
        <v>1333</v>
      </c>
    </row>
    <row r="68" spans="1:12" ht="30" customHeight="1" x14ac:dyDescent="0.25">
      <c r="A68" s="6" t="s">
        <v>1402</v>
      </c>
      <c r="B68" s="6" t="s">
        <v>201</v>
      </c>
      <c r="C68" s="7" t="s">
        <v>202</v>
      </c>
      <c r="D68" s="7" t="s">
        <v>703</v>
      </c>
      <c r="E68" s="7" t="s">
        <v>610</v>
      </c>
      <c r="F68" s="7"/>
      <c r="G68" s="7" t="s">
        <v>14</v>
      </c>
      <c r="H68" s="7" t="s">
        <v>49</v>
      </c>
      <c r="I68" s="7"/>
      <c r="J68" s="7" t="s">
        <v>48</v>
      </c>
      <c r="K68" s="7" t="s">
        <v>74</v>
      </c>
      <c r="L68" s="7" t="s">
        <v>1333</v>
      </c>
    </row>
    <row r="69" spans="1:12" ht="30" customHeight="1" x14ac:dyDescent="0.25">
      <c r="A69" s="6" t="s">
        <v>1403</v>
      </c>
      <c r="B69" s="6" t="s">
        <v>203</v>
      </c>
      <c r="C69" s="7" t="s">
        <v>204</v>
      </c>
      <c r="D69" s="7" t="s">
        <v>703</v>
      </c>
      <c r="E69" s="7" t="s">
        <v>610</v>
      </c>
      <c r="F69" s="7"/>
      <c r="G69" s="7" t="s">
        <v>14</v>
      </c>
      <c r="H69" s="7" t="s">
        <v>49</v>
      </c>
      <c r="I69" s="7"/>
      <c r="J69" s="7" t="s">
        <v>48</v>
      </c>
      <c r="K69" s="7" t="s">
        <v>74</v>
      </c>
      <c r="L69" s="7" t="s">
        <v>1333</v>
      </c>
    </row>
    <row r="70" spans="1:12" ht="30" customHeight="1" x14ac:dyDescent="0.25">
      <c r="A70" s="6" t="s">
        <v>1404</v>
      </c>
      <c r="B70" s="6" t="s">
        <v>207</v>
      </c>
      <c r="C70" s="7" t="s">
        <v>208</v>
      </c>
      <c r="D70" s="7" t="s">
        <v>703</v>
      </c>
      <c r="E70" s="7" t="s">
        <v>610</v>
      </c>
      <c r="F70" s="7"/>
      <c r="G70" s="7" t="s">
        <v>14</v>
      </c>
      <c r="H70" s="7" t="s">
        <v>49</v>
      </c>
      <c r="I70" s="7"/>
      <c r="J70" s="7" t="s">
        <v>48</v>
      </c>
      <c r="K70" s="7" t="s">
        <v>74</v>
      </c>
      <c r="L70" s="7" t="s">
        <v>1333</v>
      </c>
    </row>
    <row r="71" spans="1:12" ht="30" customHeight="1" x14ac:dyDescent="0.25">
      <c r="A71" s="6" t="s">
        <v>1405</v>
      </c>
      <c r="B71" s="6" t="s">
        <v>210</v>
      </c>
      <c r="C71" s="7" t="s">
        <v>211</v>
      </c>
      <c r="D71" s="7" t="s">
        <v>703</v>
      </c>
      <c r="E71" s="7" t="s">
        <v>610</v>
      </c>
      <c r="F71" s="7"/>
      <c r="G71" s="7" t="s">
        <v>14</v>
      </c>
      <c r="H71" s="7" t="s">
        <v>49</v>
      </c>
      <c r="I71" s="7"/>
      <c r="J71" s="7" t="s">
        <v>48</v>
      </c>
      <c r="K71" s="7" t="s">
        <v>74</v>
      </c>
      <c r="L71" s="7" t="s">
        <v>1333</v>
      </c>
    </row>
    <row r="72" spans="1:12" ht="30" customHeight="1" x14ac:dyDescent="0.25">
      <c r="A72" s="6" t="s">
        <v>1406</v>
      </c>
      <c r="B72" s="6" t="s">
        <v>212</v>
      </c>
      <c r="C72" s="7" t="s">
        <v>213</v>
      </c>
      <c r="D72" s="7" t="s">
        <v>703</v>
      </c>
      <c r="E72" s="7" t="s">
        <v>610</v>
      </c>
      <c r="F72" s="7"/>
      <c r="G72" s="7" t="s">
        <v>14</v>
      </c>
      <c r="H72" s="7" t="s">
        <v>49</v>
      </c>
      <c r="I72" s="7"/>
      <c r="J72" s="7" t="s">
        <v>48</v>
      </c>
      <c r="K72" s="7" t="s">
        <v>74</v>
      </c>
      <c r="L72" s="7" t="s">
        <v>1333</v>
      </c>
    </row>
    <row r="73" spans="1:12" ht="30" customHeight="1" x14ac:dyDescent="0.25">
      <c r="A73" s="6" t="s">
        <v>1407</v>
      </c>
      <c r="B73" s="6" t="s">
        <v>215</v>
      </c>
      <c r="C73" s="7" t="s">
        <v>216</v>
      </c>
      <c r="D73" s="7" t="s">
        <v>703</v>
      </c>
      <c r="E73" s="7" t="s">
        <v>610</v>
      </c>
      <c r="F73" s="7"/>
      <c r="G73" s="7" t="s">
        <v>14</v>
      </c>
      <c r="H73" s="7" t="s">
        <v>49</v>
      </c>
      <c r="I73" s="7"/>
      <c r="J73" s="7" t="s">
        <v>48</v>
      </c>
      <c r="K73" s="7" t="s">
        <v>74</v>
      </c>
      <c r="L73" s="7" t="s">
        <v>1333</v>
      </c>
    </row>
    <row r="74" spans="1:12" ht="30" customHeight="1" x14ac:dyDescent="0.25">
      <c r="A74" s="6" t="s">
        <v>1408</v>
      </c>
      <c r="B74" s="6" t="s">
        <v>218</v>
      </c>
      <c r="C74" s="7" t="s">
        <v>219</v>
      </c>
      <c r="D74" s="7" t="s">
        <v>703</v>
      </c>
      <c r="E74" s="7" t="s">
        <v>610</v>
      </c>
      <c r="F74" s="7"/>
      <c r="G74" s="7" t="s">
        <v>14</v>
      </c>
      <c r="H74" s="7" t="s">
        <v>49</v>
      </c>
      <c r="I74" s="7"/>
      <c r="J74" s="7" t="s">
        <v>48</v>
      </c>
      <c r="K74" s="7" t="s">
        <v>74</v>
      </c>
      <c r="L74" s="7" t="s">
        <v>1333</v>
      </c>
    </row>
    <row r="75" spans="1:12" ht="30" customHeight="1" x14ac:dyDescent="0.25">
      <c r="A75" s="6" t="s">
        <v>1409</v>
      </c>
      <c r="B75" s="6" t="s">
        <v>222</v>
      </c>
      <c r="C75" s="7" t="s">
        <v>223</v>
      </c>
      <c r="D75" s="7" t="s">
        <v>703</v>
      </c>
      <c r="E75" s="7" t="s">
        <v>610</v>
      </c>
      <c r="F75" s="7"/>
      <c r="G75" s="7" t="s">
        <v>13</v>
      </c>
      <c r="H75" s="7" t="s">
        <v>109</v>
      </c>
      <c r="I75" s="7"/>
      <c r="J75" s="7" t="s">
        <v>48</v>
      </c>
      <c r="K75" s="7" t="s">
        <v>986</v>
      </c>
      <c r="L75" s="7" t="s">
        <v>1333</v>
      </c>
    </row>
    <row r="76" spans="1:12" ht="30" customHeight="1" x14ac:dyDescent="0.25">
      <c r="A76" s="6" t="s">
        <v>1410</v>
      </c>
      <c r="B76" s="6" t="s">
        <v>226</v>
      </c>
      <c r="C76" s="7" t="s">
        <v>227</v>
      </c>
      <c r="D76" s="7" t="s">
        <v>703</v>
      </c>
      <c r="E76" s="7" t="s">
        <v>610</v>
      </c>
      <c r="F76" s="7"/>
      <c r="G76" s="7" t="s">
        <v>14</v>
      </c>
      <c r="H76" s="7" t="s">
        <v>49</v>
      </c>
      <c r="I76" s="7"/>
      <c r="J76" s="7" t="s">
        <v>48</v>
      </c>
      <c r="K76" s="7" t="s">
        <v>74</v>
      </c>
      <c r="L76" s="7" t="s">
        <v>1333</v>
      </c>
    </row>
    <row r="77" spans="1:12" ht="30" customHeight="1" x14ac:dyDescent="0.25">
      <c r="A77" s="6" t="s">
        <v>1411</v>
      </c>
      <c r="B77" s="6" t="s">
        <v>229</v>
      </c>
      <c r="C77" s="7" t="s">
        <v>230</v>
      </c>
      <c r="D77" s="7" t="s">
        <v>703</v>
      </c>
      <c r="E77" s="7" t="s">
        <v>610</v>
      </c>
      <c r="F77" s="7"/>
      <c r="G77" s="7" t="s">
        <v>14</v>
      </c>
      <c r="H77" s="7" t="s">
        <v>49</v>
      </c>
      <c r="I77" s="7"/>
      <c r="J77" s="7" t="s">
        <v>48</v>
      </c>
      <c r="K77" s="7" t="s">
        <v>74</v>
      </c>
      <c r="L77" s="7" t="s">
        <v>1333</v>
      </c>
    </row>
    <row r="78" spans="1:12" ht="30" customHeight="1" x14ac:dyDescent="0.25">
      <c r="A78" s="6" t="s">
        <v>1412</v>
      </c>
      <c r="B78" s="6" t="s">
        <v>232</v>
      </c>
      <c r="C78" s="7" t="s">
        <v>233</v>
      </c>
      <c r="D78" s="7" t="s">
        <v>703</v>
      </c>
      <c r="E78" s="7" t="s">
        <v>610</v>
      </c>
      <c r="F78" s="7"/>
      <c r="G78" s="7" t="s">
        <v>14</v>
      </c>
      <c r="H78" s="7" t="s">
        <v>49</v>
      </c>
      <c r="I78" s="7"/>
      <c r="J78" s="7" t="s">
        <v>48</v>
      </c>
      <c r="K78" s="7" t="s">
        <v>74</v>
      </c>
      <c r="L78" s="7" t="s">
        <v>1333</v>
      </c>
    </row>
    <row r="79" spans="1:12" ht="30" customHeight="1" x14ac:dyDescent="0.25">
      <c r="A79" s="6" t="s">
        <v>1413</v>
      </c>
      <c r="B79" s="6" t="s">
        <v>235</v>
      </c>
      <c r="C79" s="7" t="s">
        <v>236</v>
      </c>
      <c r="D79" s="7" t="s">
        <v>703</v>
      </c>
      <c r="E79" s="7" t="s">
        <v>610</v>
      </c>
      <c r="F79" s="7"/>
      <c r="G79" s="7" t="s">
        <v>14</v>
      </c>
      <c r="H79" s="7" t="s">
        <v>49</v>
      </c>
      <c r="I79" s="7"/>
      <c r="J79" s="7" t="s">
        <v>48</v>
      </c>
      <c r="K79" s="7" t="s">
        <v>74</v>
      </c>
      <c r="L79" s="7" t="s">
        <v>1333</v>
      </c>
    </row>
    <row r="80" spans="1:12" ht="30" customHeight="1" x14ac:dyDescent="0.25">
      <c r="A80" s="6" t="s">
        <v>1414</v>
      </c>
      <c r="B80" s="6" t="s">
        <v>238</v>
      </c>
      <c r="C80" s="7" t="s">
        <v>239</v>
      </c>
      <c r="D80" s="7" t="s">
        <v>703</v>
      </c>
      <c r="E80" s="7" t="s">
        <v>610</v>
      </c>
      <c r="F80" s="7"/>
      <c r="G80" s="7" t="s">
        <v>14</v>
      </c>
      <c r="H80" s="7" t="s">
        <v>49</v>
      </c>
      <c r="I80" s="7"/>
      <c r="J80" s="7" t="s">
        <v>48</v>
      </c>
      <c r="K80" s="7" t="s">
        <v>74</v>
      </c>
      <c r="L80" s="7" t="s">
        <v>1333</v>
      </c>
    </row>
    <row r="81" spans="1:12" ht="30" customHeight="1" x14ac:dyDescent="0.25">
      <c r="A81" s="6" t="s">
        <v>1415</v>
      </c>
      <c r="B81" s="6" t="s">
        <v>241</v>
      </c>
      <c r="C81" s="7" t="s">
        <v>242</v>
      </c>
      <c r="D81" s="7" t="s">
        <v>703</v>
      </c>
      <c r="E81" s="7" t="s">
        <v>610</v>
      </c>
      <c r="F81" s="7"/>
      <c r="G81" s="7" t="s">
        <v>13</v>
      </c>
      <c r="H81" s="7" t="s">
        <v>109</v>
      </c>
      <c r="I81" s="7"/>
      <c r="J81" s="7" t="s">
        <v>48</v>
      </c>
      <c r="K81" s="7" t="s">
        <v>1000</v>
      </c>
      <c r="L81" s="7" t="s">
        <v>1333</v>
      </c>
    </row>
    <row r="82" spans="1:12" ht="30" customHeight="1" x14ac:dyDescent="0.25">
      <c r="A82" s="6" t="s">
        <v>1416</v>
      </c>
      <c r="B82" s="6" t="s">
        <v>246</v>
      </c>
      <c r="C82" s="7" t="s">
        <v>247</v>
      </c>
      <c r="D82" s="7" t="s">
        <v>698</v>
      </c>
      <c r="E82" s="7" t="s">
        <v>699</v>
      </c>
      <c r="F82" s="7"/>
      <c r="G82" s="7" t="s">
        <v>14</v>
      </c>
      <c r="H82" s="7" t="s">
        <v>49</v>
      </c>
      <c r="I82" s="7"/>
      <c r="J82" s="7" t="s">
        <v>48</v>
      </c>
      <c r="K82" s="7" t="s">
        <v>251</v>
      </c>
      <c r="L82" s="7" t="s">
        <v>1333</v>
      </c>
    </row>
    <row r="83" spans="1:12" ht="30" customHeight="1" x14ac:dyDescent="0.25">
      <c r="A83" s="6" t="s">
        <v>1417</v>
      </c>
      <c r="B83" s="6" t="s">
        <v>246</v>
      </c>
      <c r="C83" s="7" t="s">
        <v>247</v>
      </c>
      <c r="D83" s="7" t="s">
        <v>703</v>
      </c>
      <c r="E83" s="7" t="s">
        <v>610</v>
      </c>
      <c r="F83" s="7"/>
      <c r="G83" s="7" t="s">
        <v>14</v>
      </c>
      <c r="H83" s="7" t="s">
        <v>49</v>
      </c>
      <c r="I83" s="7"/>
      <c r="J83" s="7" t="s">
        <v>66</v>
      </c>
      <c r="K83" s="7" t="s">
        <v>251</v>
      </c>
      <c r="L83" s="7" t="s">
        <v>1333</v>
      </c>
    </row>
    <row r="84" spans="1:12" ht="30" customHeight="1" x14ac:dyDescent="0.25">
      <c r="A84" s="6" t="s">
        <v>1418</v>
      </c>
      <c r="B84" s="6" t="s">
        <v>252</v>
      </c>
      <c r="C84" s="7" t="s">
        <v>253</v>
      </c>
      <c r="D84" s="7" t="s">
        <v>698</v>
      </c>
      <c r="E84" s="7" t="s">
        <v>699</v>
      </c>
      <c r="F84" s="7" t="s">
        <v>1338</v>
      </c>
      <c r="G84" s="7" t="s">
        <v>13</v>
      </c>
      <c r="H84" s="7" t="s">
        <v>58</v>
      </c>
      <c r="I84" s="7" t="s">
        <v>1339</v>
      </c>
      <c r="J84" s="7" t="s">
        <v>48</v>
      </c>
      <c r="K84" s="7" t="s">
        <v>321</v>
      </c>
      <c r="L84" s="7" t="s">
        <v>1333</v>
      </c>
    </row>
    <row r="85" spans="1:12" ht="30" customHeight="1" x14ac:dyDescent="0.25">
      <c r="A85" s="6" t="s">
        <v>1419</v>
      </c>
      <c r="B85" s="6" t="s">
        <v>255</v>
      </c>
      <c r="C85" s="7" t="s">
        <v>256</v>
      </c>
      <c r="D85" s="7" t="s">
        <v>698</v>
      </c>
      <c r="E85" s="7" t="s">
        <v>699</v>
      </c>
      <c r="F85" s="7"/>
      <c r="G85" s="7" t="s">
        <v>14</v>
      </c>
      <c r="H85" s="7" t="s">
        <v>49</v>
      </c>
      <c r="I85" s="7"/>
      <c r="J85" s="7" t="s">
        <v>48</v>
      </c>
      <c r="K85" s="7" t="s">
        <v>258</v>
      </c>
      <c r="L85" s="7" t="s">
        <v>1333</v>
      </c>
    </row>
    <row r="86" spans="1:12" ht="30" customHeight="1" x14ac:dyDescent="0.25">
      <c r="A86" s="6" t="s">
        <v>1420</v>
      </c>
      <c r="B86" s="6" t="s">
        <v>259</v>
      </c>
      <c r="C86" s="7" t="s">
        <v>260</v>
      </c>
      <c r="D86" s="7" t="s">
        <v>698</v>
      </c>
      <c r="E86" s="7" t="s">
        <v>699</v>
      </c>
      <c r="F86" s="7"/>
      <c r="G86" s="7" t="s">
        <v>14</v>
      </c>
      <c r="H86" s="7" t="s">
        <v>49</v>
      </c>
      <c r="I86" s="7"/>
      <c r="J86" s="7" t="s">
        <v>48</v>
      </c>
      <c r="K86" s="7" t="s">
        <v>263</v>
      </c>
      <c r="L86" s="7" t="s">
        <v>1333</v>
      </c>
    </row>
    <row r="87" spans="1:12" ht="30" customHeight="1" x14ac:dyDescent="0.25">
      <c r="A87" s="6" t="s">
        <v>1421</v>
      </c>
      <c r="B87" s="6" t="s">
        <v>259</v>
      </c>
      <c r="C87" s="7" t="s">
        <v>260</v>
      </c>
      <c r="D87" s="7" t="s">
        <v>768</v>
      </c>
      <c r="E87" s="7" t="s">
        <v>387</v>
      </c>
      <c r="F87" s="7"/>
      <c r="G87" s="7" t="s">
        <v>14</v>
      </c>
      <c r="H87" s="7" t="s">
        <v>49</v>
      </c>
      <c r="I87" s="7"/>
      <c r="J87" s="7" t="s">
        <v>48</v>
      </c>
      <c r="K87" s="7" t="s">
        <v>263</v>
      </c>
      <c r="L87" s="7" t="s">
        <v>1333</v>
      </c>
    </row>
    <row r="88" spans="1:12" ht="30" customHeight="1" x14ac:dyDescent="0.25">
      <c r="A88" s="6" t="s">
        <v>1422</v>
      </c>
      <c r="B88" s="6" t="s">
        <v>264</v>
      </c>
      <c r="C88" s="7" t="s">
        <v>265</v>
      </c>
      <c r="D88" s="7" t="s">
        <v>698</v>
      </c>
      <c r="E88" s="7" t="s">
        <v>699</v>
      </c>
      <c r="F88" s="7" t="s">
        <v>1423</v>
      </c>
      <c r="G88" s="7" t="s">
        <v>13</v>
      </c>
      <c r="H88" s="7" t="s">
        <v>109</v>
      </c>
      <c r="I88" s="7" t="s">
        <v>1339</v>
      </c>
      <c r="J88" s="7" t="s">
        <v>48</v>
      </c>
      <c r="K88" s="7" t="s">
        <v>268</v>
      </c>
      <c r="L88" s="7" t="s">
        <v>1333</v>
      </c>
    </row>
    <row r="89" spans="1:12" ht="30" customHeight="1" x14ac:dyDescent="0.25">
      <c r="A89" s="6" t="s">
        <v>1424</v>
      </c>
      <c r="B89" s="6" t="s">
        <v>264</v>
      </c>
      <c r="C89" s="7" t="s">
        <v>265</v>
      </c>
      <c r="D89" s="7" t="s">
        <v>703</v>
      </c>
      <c r="E89" s="7" t="s">
        <v>610</v>
      </c>
      <c r="F89" s="7"/>
      <c r="G89" s="7" t="s">
        <v>14</v>
      </c>
      <c r="H89" s="7" t="s">
        <v>49</v>
      </c>
      <c r="I89" s="7"/>
      <c r="J89" s="7" t="s">
        <v>48</v>
      </c>
      <c r="K89" s="7" t="s">
        <v>268</v>
      </c>
      <c r="L89" s="7" t="s">
        <v>1333</v>
      </c>
    </row>
    <row r="90" spans="1:12" ht="30" customHeight="1" x14ac:dyDescent="0.25">
      <c r="A90" s="6" t="s">
        <v>1425</v>
      </c>
      <c r="B90" s="6" t="s">
        <v>269</v>
      </c>
      <c r="C90" s="7" t="s">
        <v>270</v>
      </c>
      <c r="D90" s="7" t="s">
        <v>713</v>
      </c>
      <c r="E90" s="7" t="s">
        <v>714</v>
      </c>
      <c r="F90" s="7"/>
      <c r="G90" s="7" t="s">
        <v>14</v>
      </c>
      <c r="H90" s="7" t="s">
        <v>49</v>
      </c>
      <c r="I90" s="7"/>
      <c r="J90" s="7" t="s">
        <v>48</v>
      </c>
      <c r="K90" s="7" t="s">
        <v>1031</v>
      </c>
      <c r="L90" s="7" t="s">
        <v>1333</v>
      </c>
    </row>
    <row r="91" spans="1:12" ht="30" customHeight="1" x14ac:dyDescent="0.25">
      <c r="A91" s="6" t="s">
        <v>1426</v>
      </c>
      <c r="B91" s="6" t="s">
        <v>275</v>
      </c>
      <c r="C91" s="7" t="s">
        <v>276</v>
      </c>
      <c r="D91" s="7" t="s">
        <v>709</v>
      </c>
      <c r="E91" s="7" t="s">
        <v>458</v>
      </c>
      <c r="F91" s="7"/>
      <c r="G91" s="7" t="s">
        <v>14</v>
      </c>
      <c r="H91" s="7" t="s">
        <v>49</v>
      </c>
      <c r="I91" s="7"/>
      <c r="J91" s="7" t="s">
        <v>48</v>
      </c>
      <c r="K91" s="7" t="s">
        <v>1037</v>
      </c>
      <c r="L91" s="7" t="s">
        <v>1333</v>
      </c>
    </row>
    <row r="92" spans="1:12" ht="30" customHeight="1" x14ac:dyDescent="0.25">
      <c r="A92" s="6" t="s">
        <v>1427</v>
      </c>
      <c r="B92" s="6" t="s">
        <v>275</v>
      </c>
      <c r="C92" s="7" t="s">
        <v>276</v>
      </c>
      <c r="D92" s="7" t="s">
        <v>762</v>
      </c>
      <c r="E92" s="7" t="s">
        <v>710</v>
      </c>
      <c r="F92" s="7"/>
      <c r="G92" s="7" t="s">
        <v>14</v>
      </c>
      <c r="H92" s="7" t="s">
        <v>49</v>
      </c>
      <c r="I92" s="7"/>
      <c r="J92" s="7" t="s">
        <v>48</v>
      </c>
      <c r="K92" s="7" t="s">
        <v>1037</v>
      </c>
      <c r="L92" s="7" t="s">
        <v>1333</v>
      </c>
    </row>
    <row r="93" spans="1:12" ht="30" customHeight="1" x14ac:dyDescent="0.25">
      <c r="A93" s="6" t="s">
        <v>1428</v>
      </c>
      <c r="B93" s="6" t="s">
        <v>279</v>
      </c>
      <c r="C93" s="7" t="s">
        <v>280</v>
      </c>
      <c r="D93" s="7" t="s">
        <v>698</v>
      </c>
      <c r="E93" s="7" t="s">
        <v>699</v>
      </c>
      <c r="F93" s="7" t="s">
        <v>1338</v>
      </c>
      <c r="G93" s="7" t="s">
        <v>13</v>
      </c>
      <c r="H93" s="7" t="s">
        <v>58</v>
      </c>
      <c r="I93" s="7" t="s">
        <v>1339</v>
      </c>
      <c r="J93" s="7" t="s">
        <v>66</v>
      </c>
      <c r="K93" s="7" t="s">
        <v>283</v>
      </c>
      <c r="L93" s="7" t="s">
        <v>1333</v>
      </c>
    </row>
    <row r="94" spans="1:12" ht="30" customHeight="1" x14ac:dyDescent="0.25">
      <c r="A94" s="6" t="s">
        <v>1429</v>
      </c>
      <c r="B94" s="6" t="s">
        <v>284</v>
      </c>
      <c r="C94" s="7" t="s">
        <v>285</v>
      </c>
      <c r="D94" s="7" t="s">
        <v>764</v>
      </c>
      <c r="E94" s="7" t="s">
        <v>765</v>
      </c>
      <c r="F94" s="7" t="s">
        <v>1338</v>
      </c>
      <c r="G94" s="7" t="s">
        <v>13</v>
      </c>
      <c r="H94" s="7" t="s">
        <v>109</v>
      </c>
      <c r="I94" s="7" t="s">
        <v>1339</v>
      </c>
      <c r="J94" s="7" t="s">
        <v>66</v>
      </c>
      <c r="K94" s="7" t="s">
        <v>288</v>
      </c>
      <c r="L94" s="7" t="s">
        <v>1333</v>
      </c>
    </row>
    <row r="95" spans="1:12" ht="30" customHeight="1" x14ac:dyDescent="0.25">
      <c r="A95" s="6" t="s">
        <v>1430</v>
      </c>
      <c r="B95" s="6" t="s">
        <v>289</v>
      </c>
      <c r="C95" s="7" t="s">
        <v>290</v>
      </c>
      <c r="D95" s="7" t="s">
        <v>698</v>
      </c>
      <c r="E95" s="7" t="s">
        <v>699</v>
      </c>
      <c r="F95" s="7" t="s">
        <v>1338</v>
      </c>
      <c r="G95" s="7" t="s">
        <v>13</v>
      </c>
      <c r="H95" s="7" t="s">
        <v>58</v>
      </c>
      <c r="I95" s="7" t="s">
        <v>1339</v>
      </c>
      <c r="J95" s="7" t="s">
        <v>66</v>
      </c>
      <c r="K95" s="7" t="s">
        <v>283</v>
      </c>
      <c r="L95" s="7" t="s">
        <v>1333</v>
      </c>
    </row>
    <row r="96" spans="1:12" ht="30" customHeight="1" x14ac:dyDescent="0.25">
      <c r="A96" s="6" t="s">
        <v>1431</v>
      </c>
      <c r="B96" s="6" t="s">
        <v>292</v>
      </c>
      <c r="C96" s="7" t="s">
        <v>293</v>
      </c>
      <c r="D96" s="7" t="s">
        <v>698</v>
      </c>
      <c r="E96" s="7" t="s">
        <v>699</v>
      </c>
      <c r="F96" s="7" t="s">
        <v>1389</v>
      </c>
      <c r="G96" s="7" t="s">
        <v>13</v>
      </c>
      <c r="H96" s="7" t="s">
        <v>58</v>
      </c>
      <c r="I96" s="7" t="s">
        <v>1339</v>
      </c>
      <c r="J96" s="7" t="s">
        <v>66</v>
      </c>
      <c r="K96" s="7" t="s">
        <v>296</v>
      </c>
      <c r="L96" s="7" t="s">
        <v>1333</v>
      </c>
    </row>
    <row r="97" spans="1:12" ht="30" customHeight="1" x14ac:dyDescent="0.25">
      <c r="A97" s="6" t="s">
        <v>1432</v>
      </c>
      <c r="B97" s="6" t="s">
        <v>297</v>
      </c>
      <c r="C97" s="7" t="s">
        <v>298</v>
      </c>
      <c r="D97" s="7" t="s">
        <v>698</v>
      </c>
      <c r="E97" s="7" t="s">
        <v>699</v>
      </c>
      <c r="F97" s="7" t="s">
        <v>1338</v>
      </c>
      <c r="G97" s="7" t="s">
        <v>13</v>
      </c>
      <c r="H97" s="7" t="s">
        <v>58</v>
      </c>
      <c r="I97" s="7" t="s">
        <v>1339</v>
      </c>
      <c r="J97" s="7" t="s">
        <v>66</v>
      </c>
      <c r="K97" s="7" t="s">
        <v>251</v>
      </c>
      <c r="L97" s="7" t="s">
        <v>1333</v>
      </c>
    </row>
    <row r="98" spans="1:12" ht="30" customHeight="1" x14ac:dyDescent="0.25">
      <c r="A98" s="6" t="s">
        <v>1433</v>
      </c>
      <c r="B98" s="6" t="s">
        <v>300</v>
      </c>
      <c r="C98" s="7" t="s">
        <v>301</v>
      </c>
      <c r="D98" s="7" t="s">
        <v>698</v>
      </c>
      <c r="E98" s="7" t="s">
        <v>699</v>
      </c>
      <c r="F98" s="7" t="s">
        <v>1338</v>
      </c>
      <c r="G98" s="7" t="s">
        <v>13</v>
      </c>
      <c r="H98" s="7" t="s">
        <v>58</v>
      </c>
      <c r="I98" s="7" t="s">
        <v>1339</v>
      </c>
      <c r="J98" s="7" t="s">
        <v>66</v>
      </c>
      <c r="K98" s="7" t="s">
        <v>303</v>
      </c>
      <c r="L98" s="7" t="s">
        <v>1333</v>
      </c>
    </row>
    <row r="99" spans="1:12" ht="30" customHeight="1" x14ac:dyDescent="0.25">
      <c r="A99" s="6" t="s">
        <v>1434</v>
      </c>
      <c r="B99" s="6" t="s">
        <v>300</v>
      </c>
      <c r="C99" s="7" t="s">
        <v>301</v>
      </c>
      <c r="D99" s="7" t="s">
        <v>703</v>
      </c>
      <c r="E99" s="7" t="s">
        <v>610</v>
      </c>
      <c r="F99" s="7"/>
      <c r="G99" s="7" t="s">
        <v>14</v>
      </c>
      <c r="H99" s="7" t="s">
        <v>49</v>
      </c>
      <c r="I99" s="7"/>
      <c r="J99" s="7" t="s">
        <v>66</v>
      </c>
      <c r="K99" s="7" t="s">
        <v>303</v>
      </c>
      <c r="L99" s="7" t="s">
        <v>1333</v>
      </c>
    </row>
    <row r="100" spans="1:12" ht="30" customHeight="1" x14ac:dyDescent="0.25">
      <c r="A100" s="6" t="s">
        <v>1435</v>
      </c>
      <c r="B100" s="6" t="s">
        <v>304</v>
      </c>
      <c r="C100" s="7" t="s">
        <v>305</v>
      </c>
      <c r="D100" s="7" t="s">
        <v>755</v>
      </c>
      <c r="E100" s="7" t="s">
        <v>756</v>
      </c>
      <c r="F100" s="7" t="s">
        <v>1338</v>
      </c>
      <c r="G100" s="7" t="s">
        <v>13</v>
      </c>
      <c r="H100" s="7" t="s">
        <v>109</v>
      </c>
      <c r="I100" s="7" t="s">
        <v>1339</v>
      </c>
      <c r="J100" s="7" t="s">
        <v>66</v>
      </c>
      <c r="K100" s="7" t="s">
        <v>308</v>
      </c>
      <c r="L100" s="7" t="s">
        <v>1333</v>
      </c>
    </row>
    <row r="101" spans="1:12" ht="30" customHeight="1" x14ac:dyDescent="0.25">
      <c r="A101" s="6" t="s">
        <v>1436</v>
      </c>
      <c r="B101" s="6" t="s">
        <v>304</v>
      </c>
      <c r="C101" s="7" t="s">
        <v>305</v>
      </c>
      <c r="D101" s="7" t="s">
        <v>698</v>
      </c>
      <c r="E101" s="7" t="s">
        <v>699</v>
      </c>
      <c r="F101" s="7"/>
      <c r="G101" s="7" t="s">
        <v>14</v>
      </c>
      <c r="H101" s="7" t="s">
        <v>49</v>
      </c>
      <c r="I101" s="7"/>
      <c r="J101" s="7" t="s">
        <v>66</v>
      </c>
      <c r="K101" s="7" t="s">
        <v>308</v>
      </c>
      <c r="L101" s="7" t="s">
        <v>1333</v>
      </c>
    </row>
    <row r="102" spans="1:12" ht="30" customHeight="1" x14ac:dyDescent="0.25">
      <c r="A102" s="6" t="s">
        <v>1437</v>
      </c>
      <c r="B102" s="6" t="s">
        <v>309</v>
      </c>
      <c r="C102" s="7" t="s">
        <v>310</v>
      </c>
      <c r="D102" s="7" t="s">
        <v>698</v>
      </c>
      <c r="E102" s="7" t="s">
        <v>699</v>
      </c>
      <c r="F102" s="7"/>
      <c r="G102" s="7" t="s">
        <v>14</v>
      </c>
      <c r="H102" s="7" t="s">
        <v>49</v>
      </c>
      <c r="I102" s="7"/>
      <c r="J102" s="7" t="s">
        <v>48</v>
      </c>
      <c r="K102" s="7" t="s">
        <v>1067</v>
      </c>
      <c r="L102" s="7" t="s">
        <v>1333</v>
      </c>
    </row>
    <row r="103" spans="1:12" ht="30" customHeight="1" x14ac:dyDescent="0.25">
      <c r="A103" s="6" t="s">
        <v>1438</v>
      </c>
      <c r="B103" s="6" t="s">
        <v>309</v>
      </c>
      <c r="C103" s="7" t="s">
        <v>310</v>
      </c>
      <c r="D103" s="7" t="s">
        <v>703</v>
      </c>
      <c r="E103" s="7" t="s">
        <v>610</v>
      </c>
      <c r="F103" s="7"/>
      <c r="G103" s="7" t="s">
        <v>14</v>
      </c>
      <c r="H103" s="7" t="s">
        <v>49</v>
      </c>
      <c r="I103" s="7"/>
      <c r="J103" s="7" t="s">
        <v>48</v>
      </c>
      <c r="K103" s="7" t="s">
        <v>1067</v>
      </c>
      <c r="L103" s="7" t="s">
        <v>1333</v>
      </c>
    </row>
    <row r="104" spans="1:12" ht="30" customHeight="1" x14ac:dyDescent="0.25">
      <c r="A104" s="6" t="s">
        <v>1439</v>
      </c>
      <c r="B104" s="6" t="s">
        <v>313</v>
      </c>
      <c r="C104" s="7" t="s">
        <v>314</v>
      </c>
      <c r="D104" s="7" t="s">
        <v>703</v>
      </c>
      <c r="E104" s="7" t="s">
        <v>610</v>
      </c>
      <c r="F104" s="7"/>
      <c r="G104" s="7" t="s">
        <v>14</v>
      </c>
      <c r="H104" s="7" t="s">
        <v>49</v>
      </c>
      <c r="I104" s="7"/>
      <c r="J104" s="7" t="s">
        <v>48</v>
      </c>
      <c r="K104" s="7" t="s">
        <v>68</v>
      </c>
      <c r="L104" s="7" t="s">
        <v>1333</v>
      </c>
    </row>
    <row r="105" spans="1:12" ht="30" customHeight="1" x14ac:dyDescent="0.25">
      <c r="A105" s="6" t="s">
        <v>1440</v>
      </c>
      <c r="B105" s="6" t="s">
        <v>317</v>
      </c>
      <c r="C105" s="7" t="s">
        <v>318</v>
      </c>
      <c r="D105" s="7" t="s">
        <v>698</v>
      </c>
      <c r="E105" s="7" t="s">
        <v>699</v>
      </c>
      <c r="F105" s="7"/>
      <c r="G105" s="7" t="s">
        <v>14</v>
      </c>
      <c r="H105" s="7" t="s">
        <v>49</v>
      </c>
      <c r="I105" s="7"/>
      <c r="J105" s="7" t="s">
        <v>66</v>
      </c>
      <c r="K105" s="7" t="s">
        <v>321</v>
      </c>
      <c r="L105" s="7" t="s">
        <v>1333</v>
      </c>
    </row>
    <row r="106" spans="1:12" ht="30" customHeight="1" x14ac:dyDescent="0.25">
      <c r="A106" s="6" t="s">
        <v>1441</v>
      </c>
      <c r="B106" s="6" t="s">
        <v>322</v>
      </c>
      <c r="C106" s="7" t="s">
        <v>323</v>
      </c>
      <c r="D106" s="7" t="s">
        <v>698</v>
      </c>
      <c r="E106" s="7" t="s">
        <v>699</v>
      </c>
      <c r="F106" s="7" t="s">
        <v>1389</v>
      </c>
      <c r="G106" s="7" t="s">
        <v>13</v>
      </c>
      <c r="H106" s="7" t="s">
        <v>58</v>
      </c>
      <c r="I106" s="7" t="s">
        <v>1339</v>
      </c>
      <c r="J106" s="7" t="s">
        <v>66</v>
      </c>
      <c r="K106" s="7" t="s">
        <v>283</v>
      </c>
      <c r="L106" s="7" t="s">
        <v>1333</v>
      </c>
    </row>
    <row r="107" spans="1:12" ht="30" customHeight="1" x14ac:dyDescent="0.25">
      <c r="A107" s="6" t="s">
        <v>1442</v>
      </c>
      <c r="B107" s="6" t="s">
        <v>326</v>
      </c>
      <c r="C107" s="7" t="s">
        <v>327</v>
      </c>
      <c r="D107" s="7" t="s">
        <v>744</v>
      </c>
      <c r="E107" s="7" t="s">
        <v>745</v>
      </c>
      <c r="F107" s="7" t="s">
        <v>1423</v>
      </c>
      <c r="G107" s="7" t="s">
        <v>13</v>
      </c>
      <c r="H107" s="7" t="s">
        <v>58</v>
      </c>
      <c r="I107" s="7" t="s">
        <v>1339</v>
      </c>
      <c r="J107" s="7" t="s">
        <v>66</v>
      </c>
      <c r="K107" s="7" t="s">
        <v>330</v>
      </c>
      <c r="L107" s="7" t="s">
        <v>1333</v>
      </c>
    </row>
    <row r="108" spans="1:12" ht="30" customHeight="1" x14ac:dyDescent="0.25">
      <c r="A108" s="6" t="s">
        <v>1443</v>
      </c>
      <c r="B108" s="6" t="s">
        <v>326</v>
      </c>
      <c r="C108" s="7" t="s">
        <v>327</v>
      </c>
      <c r="D108" s="7" t="s">
        <v>736</v>
      </c>
      <c r="E108" s="7" t="s">
        <v>737</v>
      </c>
      <c r="F108" s="7" t="s">
        <v>1338</v>
      </c>
      <c r="G108" s="7" t="s">
        <v>13</v>
      </c>
      <c r="H108" s="7" t="s">
        <v>58</v>
      </c>
      <c r="I108" s="7" t="s">
        <v>1339</v>
      </c>
      <c r="J108" s="7" t="s">
        <v>66</v>
      </c>
      <c r="K108" s="7" t="s">
        <v>330</v>
      </c>
      <c r="L108" s="7" t="s">
        <v>1333</v>
      </c>
    </row>
    <row r="109" spans="1:12" ht="30" customHeight="1" x14ac:dyDescent="0.25">
      <c r="A109" s="6" t="s">
        <v>1444</v>
      </c>
      <c r="B109" s="6" t="s">
        <v>331</v>
      </c>
      <c r="C109" s="7" t="s">
        <v>332</v>
      </c>
      <c r="D109" s="7" t="s">
        <v>698</v>
      </c>
      <c r="E109" s="7" t="s">
        <v>699</v>
      </c>
      <c r="F109" s="7"/>
      <c r="G109" s="7" t="s">
        <v>14</v>
      </c>
      <c r="H109" s="7" t="s">
        <v>49</v>
      </c>
      <c r="I109" s="7"/>
      <c r="J109" s="7" t="s">
        <v>48</v>
      </c>
      <c r="K109" s="7" t="s">
        <v>334</v>
      </c>
      <c r="L109" s="7" t="s">
        <v>1333</v>
      </c>
    </row>
    <row r="110" spans="1:12" ht="30" customHeight="1" x14ac:dyDescent="0.25">
      <c r="A110" s="6" t="s">
        <v>1445</v>
      </c>
      <c r="B110" s="6" t="s">
        <v>331</v>
      </c>
      <c r="C110" s="7" t="s">
        <v>332</v>
      </c>
      <c r="D110" s="7" t="s">
        <v>768</v>
      </c>
      <c r="E110" s="7" t="s">
        <v>387</v>
      </c>
      <c r="F110" s="7" t="s">
        <v>1423</v>
      </c>
      <c r="G110" s="7" t="s">
        <v>13</v>
      </c>
      <c r="H110" s="7" t="s">
        <v>58</v>
      </c>
      <c r="I110" s="7" t="s">
        <v>1339</v>
      </c>
      <c r="J110" s="7" t="s">
        <v>66</v>
      </c>
      <c r="K110" s="7" t="s">
        <v>334</v>
      </c>
      <c r="L110" s="7" t="s">
        <v>1333</v>
      </c>
    </row>
    <row r="111" spans="1:12" ht="30" customHeight="1" x14ac:dyDescent="0.25">
      <c r="A111" s="6" t="s">
        <v>1446</v>
      </c>
      <c r="B111" s="6" t="s">
        <v>335</v>
      </c>
      <c r="C111" s="7" t="s">
        <v>336</v>
      </c>
      <c r="D111" s="7" t="s">
        <v>703</v>
      </c>
      <c r="E111" s="7" t="s">
        <v>610</v>
      </c>
      <c r="F111" s="7"/>
      <c r="G111" s="7" t="s">
        <v>14</v>
      </c>
      <c r="H111" s="7" t="s">
        <v>49</v>
      </c>
      <c r="I111" s="7"/>
      <c r="J111" s="7" t="s">
        <v>66</v>
      </c>
      <c r="K111" s="7" t="s">
        <v>339</v>
      </c>
      <c r="L111" s="7" t="s">
        <v>1333</v>
      </c>
    </row>
    <row r="112" spans="1:12" ht="30" customHeight="1" x14ac:dyDescent="0.25">
      <c r="A112" s="6" t="s">
        <v>1447</v>
      </c>
      <c r="B112" s="6" t="s">
        <v>340</v>
      </c>
      <c r="C112" s="7" t="s">
        <v>341</v>
      </c>
      <c r="D112" s="7" t="s">
        <v>759</v>
      </c>
      <c r="E112" s="7" t="s">
        <v>342</v>
      </c>
      <c r="F112" s="7"/>
      <c r="G112" s="7" t="s">
        <v>14</v>
      </c>
      <c r="H112" s="7" t="s">
        <v>49</v>
      </c>
      <c r="I112" s="7"/>
      <c r="J112" s="7" t="s">
        <v>66</v>
      </c>
      <c r="K112" s="7" t="s">
        <v>344</v>
      </c>
      <c r="L112" s="7" t="s">
        <v>1333</v>
      </c>
    </row>
    <row r="113" spans="1:12" ht="30" customHeight="1" x14ac:dyDescent="0.25">
      <c r="A113" s="6" t="s">
        <v>1448</v>
      </c>
      <c r="B113" s="6" t="s">
        <v>340</v>
      </c>
      <c r="C113" s="7" t="s">
        <v>341</v>
      </c>
      <c r="D113" s="7" t="s">
        <v>703</v>
      </c>
      <c r="E113" s="7" t="s">
        <v>610</v>
      </c>
      <c r="F113" s="7"/>
      <c r="G113" s="7" t="s">
        <v>14</v>
      </c>
      <c r="H113" s="7" t="s">
        <v>49</v>
      </c>
      <c r="I113" s="7"/>
      <c r="J113" s="7" t="s">
        <v>66</v>
      </c>
      <c r="K113" s="7" t="s">
        <v>344</v>
      </c>
      <c r="L113" s="7" t="s">
        <v>1333</v>
      </c>
    </row>
    <row r="114" spans="1:12" ht="30" customHeight="1" x14ac:dyDescent="0.25">
      <c r="A114" s="6" t="s">
        <v>1449</v>
      </c>
      <c r="B114" s="6" t="s">
        <v>345</v>
      </c>
      <c r="C114" s="7" t="s">
        <v>346</v>
      </c>
      <c r="D114" s="7" t="s">
        <v>703</v>
      </c>
      <c r="E114" s="7" t="s">
        <v>610</v>
      </c>
      <c r="F114" s="7" t="s">
        <v>1389</v>
      </c>
      <c r="G114" s="7" t="s">
        <v>13</v>
      </c>
      <c r="H114" s="7" t="s">
        <v>58</v>
      </c>
      <c r="I114" s="7" t="s">
        <v>1339</v>
      </c>
      <c r="J114" s="7" t="s">
        <v>66</v>
      </c>
      <c r="K114" s="7" t="s">
        <v>348</v>
      </c>
      <c r="L114" s="7" t="s">
        <v>1333</v>
      </c>
    </row>
    <row r="115" spans="1:12" ht="30" customHeight="1" x14ac:dyDescent="0.25">
      <c r="A115" s="6" t="s">
        <v>1450</v>
      </c>
      <c r="B115" s="6" t="s">
        <v>345</v>
      </c>
      <c r="C115" s="7" t="s">
        <v>346</v>
      </c>
      <c r="D115" s="7" t="s">
        <v>706</v>
      </c>
      <c r="E115" s="7" t="s">
        <v>707</v>
      </c>
      <c r="F115" s="7" t="s">
        <v>1389</v>
      </c>
      <c r="G115" s="7" t="s">
        <v>13</v>
      </c>
      <c r="H115" s="7" t="s">
        <v>58</v>
      </c>
      <c r="I115" s="7" t="s">
        <v>1339</v>
      </c>
      <c r="J115" s="7" t="s">
        <v>66</v>
      </c>
      <c r="K115" s="7" t="s">
        <v>348</v>
      </c>
      <c r="L115" s="7" t="s">
        <v>1333</v>
      </c>
    </row>
    <row r="116" spans="1:12" ht="30" customHeight="1" x14ac:dyDescent="0.25">
      <c r="A116" s="6" t="s">
        <v>1451</v>
      </c>
      <c r="B116" s="6" t="s">
        <v>349</v>
      </c>
      <c r="C116" s="7" t="s">
        <v>350</v>
      </c>
      <c r="D116" s="7" t="s">
        <v>698</v>
      </c>
      <c r="E116" s="7" t="s">
        <v>699</v>
      </c>
      <c r="F116" s="7" t="s">
        <v>1338</v>
      </c>
      <c r="G116" s="7" t="s">
        <v>13</v>
      </c>
      <c r="H116" s="7" t="s">
        <v>58</v>
      </c>
      <c r="I116" s="7" t="s">
        <v>1339</v>
      </c>
      <c r="J116" s="7" t="s">
        <v>66</v>
      </c>
      <c r="K116" s="7" t="s">
        <v>353</v>
      </c>
      <c r="L116" s="7" t="s">
        <v>1333</v>
      </c>
    </row>
    <row r="117" spans="1:12" ht="30" customHeight="1" x14ac:dyDescent="0.25">
      <c r="A117" s="6" t="s">
        <v>1452</v>
      </c>
      <c r="B117" s="6" t="s">
        <v>354</v>
      </c>
      <c r="C117" s="7" t="s">
        <v>355</v>
      </c>
      <c r="D117" s="7" t="s">
        <v>698</v>
      </c>
      <c r="E117" s="7" t="s">
        <v>699</v>
      </c>
      <c r="F117" s="7" t="s">
        <v>1338</v>
      </c>
      <c r="G117" s="7" t="s">
        <v>13</v>
      </c>
      <c r="H117" s="7" t="s">
        <v>58</v>
      </c>
      <c r="I117" s="7" t="s">
        <v>1339</v>
      </c>
      <c r="J117" s="7" t="s">
        <v>66</v>
      </c>
      <c r="K117" s="7"/>
      <c r="L117" s="7" t="s">
        <v>1333</v>
      </c>
    </row>
    <row r="118" spans="1:12" ht="30" customHeight="1" x14ac:dyDescent="0.25">
      <c r="A118" s="6" t="s">
        <v>1453</v>
      </c>
      <c r="B118" s="6" t="s">
        <v>361</v>
      </c>
      <c r="C118" s="7" t="s">
        <v>362</v>
      </c>
      <c r="D118" s="7" t="s">
        <v>698</v>
      </c>
      <c r="E118" s="7" t="s">
        <v>699</v>
      </c>
      <c r="F118" s="7"/>
      <c r="G118" s="7" t="s">
        <v>14</v>
      </c>
      <c r="H118" s="7" t="s">
        <v>49</v>
      </c>
      <c r="I118" s="7"/>
      <c r="J118" s="7" t="s">
        <v>48</v>
      </c>
      <c r="K118" s="7" t="s">
        <v>367</v>
      </c>
      <c r="L118" s="7" t="s">
        <v>1333</v>
      </c>
    </row>
    <row r="119" spans="1:12" ht="30" customHeight="1" x14ac:dyDescent="0.25">
      <c r="A119" s="6" t="s">
        <v>1454</v>
      </c>
      <c r="B119" s="6" t="s">
        <v>361</v>
      </c>
      <c r="C119" s="7" t="s">
        <v>362</v>
      </c>
      <c r="D119" s="7" t="s">
        <v>768</v>
      </c>
      <c r="E119" s="7" t="s">
        <v>387</v>
      </c>
      <c r="F119" s="7"/>
      <c r="G119" s="7" t="s">
        <v>14</v>
      </c>
      <c r="H119" s="7" t="s">
        <v>49</v>
      </c>
      <c r="I119" s="7"/>
      <c r="J119" s="7" t="s">
        <v>48</v>
      </c>
      <c r="K119" s="7" t="s">
        <v>367</v>
      </c>
      <c r="L119" s="7" t="s">
        <v>1333</v>
      </c>
    </row>
    <row r="120" spans="1:12" ht="30" customHeight="1" x14ac:dyDescent="0.25">
      <c r="A120" s="6" t="s">
        <v>1455</v>
      </c>
      <c r="B120" s="6" t="s">
        <v>368</v>
      </c>
      <c r="C120" s="7" t="s">
        <v>369</v>
      </c>
      <c r="D120" s="7" t="s">
        <v>698</v>
      </c>
      <c r="E120" s="7" t="s">
        <v>699</v>
      </c>
      <c r="F120" s="7"/>
      <c r="G120" s="7" t="s">
        <v>14</v>
      </c>
      <c r="H120" s="7" t="s">
        <v>49</v>
      </c>
      <c r="I120" s="7"/>
      <c r="J120" s="7" t="s">
        <v>48</v>
      </c>
      <c r="K120" s="7" t="s">
        <v>348</v>
      </c>
      <c r="L120" s="7" t="s">
        <v>1333</v>
      </c>
    </row>
    <row r="121" spans="1:12" ht="30" customHeight="1" x14ac:dyDescent="0.25">
      <c r="A121" s="6" t="s">
        <v>1456</v>
      </c>
      <c r="B121" s="6" t="s">
        <v>368</v>
      </c>
      <c r="C121" s="7" t="s">
        <v>369</v>
      </c>
      <c r="D121" s="7" t="s">
        <v>703</v>
      </c>
      <c r="E121" s="7" t="s">
        <v>610</v>
      </c>
      <c r="F121" s="7" t="s">
        <v>1338</v>
      </c>
      <c r="G121" s="7" t="s">
        <v>13</v>
      </c>
      <c r="H121" s="7" t="s">
        <v>58</v>
      </c>
      <c r="I121" s="7" t="s">
        <v>1339</v>
      </c>
      <c r="J121" s="7" t="s">
        <v>48</v>
      </c>
      <c r="K121" s="7" t="s">
        <v>348</v>
      </c>
      <c r="L121" s="7" t="s">
        <v>1333</v>
      </c>
    </row>
    <row r="122" spans="1:12" ht="30" customHeight="1" x14ac:dyDescent="0.25">
      <c r="A122" s="6" t="s">
        <v>1457</v>
      </c>
      <c r="B122" s="6" t="s">
        <v>585</v>
      </c>
      <c r="C122" s="7" t="s">
        <v>586</v>
      </c>
      <c r="D122" s="7" t="s">
        <v>722</v>
      </c>
      <c r="E122" s="7" t="s">
        <v>553</v>
      </c>
      <c r="F122" s="7" t="s">
        <v>1338</v>
      </c>
      <c r="G122" s="7" t="s">
        <v>13</v>
      </c>
      <c r="H122" s="7" t="s">
        <v>58</v>
      </c>
      <c r="I122" s="7" t="s">
        <v>1339</v>
      </c>
      <c r="J122" s="7" t="s">
        <v>48</v>
      </c>
      <c r="K122" s="7" t="s">
        <v>1458</v>
      </c>
      <c r="L122" s="7" t="s">
        <v>1333</v>
      </c>
    </row>
    <row r="123" spans="1:12" ht="30" customHeight="1" x14ac:dyDescent="0.25">
      <c r="A123" s="6" t="s">
        <v>1459</v>
      </c>
      <c r="B123" s="6" t="s">
        <v>589</v>
      </c>
      <c r="C123" s="7" t="s">
        <v>590</v>
      </c>
      <c r="D123" s="7" t="s">
        <v>698</v>
      </c>
      <c r="E123" s="7" t="s">
        <v>699</v>
      </c>
      <c r="F123" s="7" t="s">
        <v>1338</v>
      </c>
      <c r="G123" s="7" t="s">
        <v>13</v>
      </c>
      <c r="H123" s="7" t="s">
        <v>58</v>
      </c>
      <c r="I123" s="7" t="s">
        <v>1339</v>
      </c>
      <c r="J123" s="7" t="s">
        <v>66</v>
      </c>
      <c r="K123" s="7" t="s">
        <v>1122</v>
      </c>
      <c r="L123" s="7" t="s">
        <v>1333</v>
      </c>
    </row>
    <row r="124" spans="1:12" ht="30" customHeight="1" x14ac:dyDescent="0.25">
      <c r="A124" s="6" t="s">
        <v>1460</v>
      </c>
      <c r="B124" s="6" t="s">
        <v>487</v>
      </c>
      <c r="C124" s="7" t="s">
        <v>488</v>
      </c>
      <c r="D124" s="7" t="s">
        <v>698</v>
      </c>
      <c r="E124" s="7" t="s">
        <v>699</v>
      </c>
      <c r="F124" s="7" t="s">
        <v>1338</v>
      </c>
      <c r="G124" s="7" t="s">
        <v>13</v>
      </c>
      <c r="H124" s="7" t="s">
        <v>109</v>
      </c>
      <c r="I124" s="7" t="s">
        <v>1339</v>
      </c>
      <c r="J124" s="7" t="s">
        <v>48</v>
      </c>
      <c r="K124" s="7" t="s">
        <v>1194</v>
      </c>
      <c r="L124" s="7" t="s">
        <v>1333</v>
      </c>
    </row>
    <row r="125" spans="1:12" ht="30" customHeight="1" x14ac:dyDescent="0.25">
      <c r="A125" s="6" t="s">
        <v>1461</v>
      </c>
      <c r="B125" s="6" t="s">
        <v>470</v>
      </c>
      <c r="C125" s="7" t="s">
        <v>471</v>
      </c>
      <c r="D125" s="7" t="s">
        <v>698</v>
      </c>
      <c r="E125" s="7" t="s">
        <v>699</v>
      </c>
      <c r="F125" s="7"/>
      <c r="G125" s="7" t="s">
        <v>13</v>
      </c>
      <c r="H125" s="7" t="s">
        <v>109</v>
      </c>
      <c r="I125" s="7"/>
      <c r="J125" s="7" t="s">
        <v>66</v>
      </c>
      <c r="K125" s="7" t="s">
        <v>1153</v>
      </c>
      <c r="L125" s="7" t="s">
        <v>1333</v>
      </c>
    </row>
    <row r="126" spans="1:12" ht="30" customHeight="1" x14ac:dyDescent="0.25">
      <c r="A126" s="6" t="s">
        <v>1462</v>
      </c>
      <c r="B126" s="6" t="s">
        <v>475</v>
      </c>
      <c r="C126" s="7" t="s">
        <v>476</v>
      </c>
      <c r="D126" s="7" t="s">
        <v>698</v>
      </c>
      <c r="E126" s="7" t="s">
        <v>699</v>
      </c>
      <c r="F126" s="7"/>
      <c r="G126" s="7" t="s">
        <v>13</v>
      </c>
      <c r="H126" s="7" t="s">
        <v>109</v>
      </c>
      <c r="I126" s="7"/>
      <c r="J126" s="7" t="s">
        <v>48</v>
      </c>
      <c r="K126" s="7" t="s">
        <v>1160</v>
      </c>
      <c r="L126" s="7" t="s">
        <v>1333</v>
      </c>
    </row>
    <row r="127" spans="1:12" ht="30" customHeight="1" x14ac:dyDescent="0.25">
      <c r="A127" s="6" t="s">
        <v>1463</v>
      </c>
      <c r="B127" s="6" t="s">
        <v>479</v>
      </c>
      <c r="C127" s="7" t="s">
        <v>480</v>
      </c>
      <c r="D127" s="7" t="s">
        <v>713</v>
      </c>
      <c r="E127" s="7" t="s">
        <v>714</v>
      </c>
      <c r="F127" s="7"/>
      <c r="G127" s="7" t="s">
        <v>13</v>
      </c>
      <c r="H127" s="7" t="s">
        <v>109</v>
      </c>
      <c r="I127" s="7"/>
      <c r="J127" s="7" t="s">
        <v>48</v>
      </c>
      <c r="K127" s="7" t="s">
        <v>1464</v>
      </c>
      <c r="L127" s="7" t="s">
        <v>1333</v>
      </c>
    </row>
    <row r="128" spans="1:12" ht="30" customHeight="1" x14ac:dyDescent="0.25">
      <c r="A128" s="6" t="s">
        <v>1465</v>
      </c>
      <c r="B128" s="6" t="s">
        <v>482</v>
      </c>
      <c r="C128" s="7" t="s">
        <v>483</v>
      </c>
      <c r="D128" s="7" t="s">
        <v>703</v>
      </c>
      <c r="E128" s="7" t="s">
        <v>610</v>
      </c>
      <c r="F128" s="7"/>
      <c r="G128" s="7" t="s">
        <v>13</v>
      </c>
      <c r="H128" s="7" t="s">
        <v>109</v>
      </c>
      <c r="I128" s="7"/>
      <c r="J128" s="7" t="s">
        <v>66</v>
      </c>
      <c r="K128" s="7" t="s">
        <v>1176</v>
      </c>
      <c r="L128" s="7" t="s">
        <v>1333</v>
      </c>
    </row>
    <row r="129" spans="1:12" ht="30" customHeight="1" x14ac:dyDescent="0.25">
      <c r="A129" s="6" t="s">
        <v>1466</v>
      </c>
      <c r="B129" s="6" t="s">
        <v>491</v>
      </c>
      <c r="C129" s="7" t="s">
        <v>492</v>
      </c>
      <c r="D129" s="7" t="s">
        <v>744</v>
      </c>
      <c r="E129" s="7" t="s">
        <v>745</v>
      </c>
      <c r="F129" s="7" t="s">
        <v>1371</v>
      </c>
      <c r="G129" s="7" t="s">
        <v>13</v>
      </c>
      <c r="H129" s="7" t="s">
        <v>58</v>
      </c>
      <c r="I129" s="7" t="s">
        <v>1339</v>
      </c>
      <c r="J129" s="7" t="s">
        <v>48</v>
      </c>
      <c r="K129" s="7" t="s">
        <v>1467</v>
      </c>
      <c r="L129" s="7" t="s">
        <v>1333</v>
      </c>
    </row>
    <row r="130" spans="1:12" ht="30" customHeight="1" x14ac:dyDescent="0.25">
      <c r="A130" s="6" t="s">
        <v>1468</v>
      </c>
      <c r="B130" s="6" t="s">
        <v>495</v>
      </c>
      <c r="C130" s="7" t="s">
        <v>496</v>
      </c>
      <c r="D130" s="7" t="s">
        <v>762</v>
      </c>
      <c r="E130" s="7" t="s">
        <v>710</v>
      </c>
      <c r="F130" s="7" t="s">
        <v>1338</v>
      </c>
      <c r="G130" s="7" t="s">
        <v>13</v>
      </c>
      <c r="H130" s="7" t="s">
        <v>109</v>
      </c>
      <c r="I130" s="7" t="s">
        <v>1339</v>
      </c>
      <c r="J130" s="7" t="s">
        <v>48</v>
      </c>
      <c r="K130" s="7" t="s">
        <v>1213</v>
      </c>
      <c r="L130" s="7" t="s">
        <v>1333</v>
      </c>
    </row>
    <row r="131" spans="1:12" ht="30" customHeight="1" x14ac:dyDescent="0.25">
      <c r="A131" s="6" t="s">
        <v>1469</v>
      </c>
      <c r="B131" s="6" t="s">
        <v>495</v>
      </c>
      <c r="C131" s="7" t="s">
        <v>496</v>
      </c>
      <c r="D131" s="7" t="s">
        <v>709</v>
      </c>
      <c r="E131" s="7" t="s">
        <v>458</v>
      </c>
      <c r="F131" s="7" t="s">
        <v>1389</v>
      </c>
      <c r="G131" s="7" t="s">
        <v>13</v>
      </c>
      <c r="H131" s="7" t="s">
        <v>109</v>
      </c>
      <c r="I131" s="7" t="s">
        <v>1339</v>
      </c>
      <c r="J131" s="7" t="s">
        <v>48</v>
      </c>
      <c r="K131" s="7" t="s">
        <v>1470</v>
      </c>
      <c r="L131" s="7" t="s">
        <v>1333</v>
      </c>
    </row>
    <row r="132" spans="1:12" ht="30" customHeight="1" x14ac:dyDescent="0.25">
      <c r="A132" s="6" t="s">
        <v>1471</v>
      </c>
      <c r="B132" s="6" t="s">
        <v>500</v>
      </c>
      <c r="C132" s="7" t="s">
        <v>501</v>
      </c>
      <c r="D132" s="7" t="s">
        <v>768</v>
      </c>
      <c r="E132" s="7" t="s">
        <v>387</v>
      </c>
      <c r="F132" s="7" t="s">
        <v>1371</v>
      </c>
      <c r="G132" s="7" t="s">
        <v>13</v>
      </c>
      <c r="H132" s="7" t="s">
        <v>109</v>
      </c>
      <c r="I132" s="7" t="s">
        <v>1339</v>
      </c>
      <c r="J132" s="7" t="s">
        <v>48</v>
      </c>
      <c r="K132" s="7" t="s">
        <v>1472</v>
      </c>
      <c r="L132" s="7" t="s">
        <v>1333</v>
      </c>
    </row>
    <row r="133" spans="1:12" ht="30" customHeight="1" x14ac:dyDescent="0.25">
      <c r="A133" s="6" t="s">
        <v>1473</v>
      </c>
      <c r="B133" s="6" t="s">
        <v>500</v>
      </c>
      <c r="C133" s="7" t="s">
        <v>501</v>
      </c>
      <c r="D133" s="7" t="s">
        <v>741</v>
      </c>
      <c r="E133" s="7" t="s">
        <v>742</v>
      </c>
      <c r="F133" s="7" t="s">
        <v>1423</v>
      </c>
      <c r="G133" s="7" t="s">
        <v>13</v>
      </c>
      <c r="H133" s="7" t="s">
        <v>109</v>
      </c>
      <c r="I133" s="7" t="s">
        <v>1339</v>
      </c>
      <c r="J133" s="7" t="s">
        <v>48</v>
      </c>
      <c r="K133" s="7" t="s">
        <v>1229</v>
      </c>
      <c r="L133" s="7" t="s">
        <v>1333</v>
      </c>
    </row>
    <row r="134" spans="1:12" ht="30" customHeight="1" x14ac:dyDescent="0.25">
      <c r="A134" s="6" t="s">
        <v>1474</v>
      </c>
      <c r="B134" s="6" t="s">
        <v>505</v>
      </c>
      <c r="C134" s="7" t="s">
        <v>506</v>
      </c>
      <c r="D134" s="7" t="s">
        <v>698</v>
      </c>
      <c r="E134" s="7" t="s">
        <v>699</v>
      </c>
      <c r="F134" s="7" t="s">
        <v>1338</v>
      </c>
      <c r="G134" s="7" t="s">
        <v>13</v>
      </c>
      <c r="H134" s="7" t="s">
        <v>109</v>
      </c>
      <c r="I134" s="7" t="s">
        <v>1339</v>
      </c>
      <c r="J134" s="7" t="s">
        <v>48</v>
      </c>
      <c r="K134" s="7" t="s">
        <v>1236</v>
      </c>
      <c r="L134" s="7" t="s">
        <v>1333</v>
      </c>
    </row>
  </sheetData>
  <mergeCells count="2">
    <mergeCell ref="A2:L2"/>
    <mergeCell ref="A1:L1"/>
  </mergeCells>
  <phoneticPr fontId="12" type="noConversion"/>
  <conditionalFormatting sqref="G5:G134">
    <cfRule type="expression" dxfId="32" priority="1">
      <formula>OR(G5="Reviewed",G5="Human-Checked",G5="Human-Revised",G5="Supported")</formula>
    </cfRule>
    <cfRule type="expression" dxfId="31" priority="2">
      <formula>OR(G5="Research",G5="AI-Seeded",G5="Candidate",G5="Lead")</formula>
    </cfRule>
    <cfRule type="expression" dxfId="30" priority="3">
      <formula>OR(G5="Needs Second Source",G5="Needs Local Retrieval",G5="Failed")</formula>
    </cfRule>
  </conditionalFormatting>
  <conditionalFormatting sqref="H5:H134">
    <cfRule type="expression" dxfId="29" priority="4">
      <formula>OR(H5="Reviewed",H5="Human-Checked",H5="Human-Revised",H5="Supported")</formula>
    </cfRule>
    <cfRule type="expression" dxfId="28" priority="5">
      <formula>OR(H5="Research",H5="AI-Seeded",H5="Candidate",H5="Lead")</formula>
    </cfRule>
    <cfRule type="expression" dxfId="27" priority="6">
      <formula>OR(H5="Needs Second Source",H5="Needs Local Retrieval",H5="Failed")</formula>
    </cfRule>
  </conditionalFormatting>
  <conditionalFormatting sqref="I5:I134">
    <cfRule type="expression" dxfId="26" priority="7">
      <formula>OR(I5="Reviewed",I5="Human-Checked",I5="Human-Revised",I5="Supported")</formula>
    </cfRule>
    <cfRule type="expression" dxfId="25" priority="8">
      <formula>OR(I5="Research",I5="AI-Seeded",I5="Candidate",I5="Lead")</formula>
    </cfRule>
    <cfRule type="expression" dxfId="24" priority="9">
      <formula>OR(I5="Needs Second Source",I5="Needs Local Retrieval",I5="Failed")</formula>
    </cfRule>
  </conditionalFormatting>
  <pageMargins left="0.25" right="0.25" top="0.4" bottom="0.4" header="0.5" footer="0.5"/>
  <pageSetup orientation="landscape"/>
  <headerFooter>
    <oddHeader>&amp;C&amp;BActor-Place</oddHeader>
    <oddFooter>&amp;LOkinawa NGO / Civic Organization Database&amp;CEnglish presentation edition&amp;RPage &amp;P of &amp;N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B626A"/>
    <pageSetUpPr fitToPage="1"/>
  </sheetPr>
  <dimension ref="A1:O71"/>
  <sheetViews>
    <sheetView showGridLines="0" zoomScale="85" workbookViewId="0">
      <pane ySplit="4" topLeftCell="A5" activePane="bottomLeft" state="frozen"/>
      <selection pane="bottomLeft"/>
    </sheetView>
  </sheetViews>
  <sheetFormatPr defaultRowHeight="14.4" x14ac:dyDescent="0.25"/>
  <cols>
    <col min="1" max="1" width="11" customWidth="1"/>
    <col min="2" max="2" width="34" customWidth="1"/>
    <col min="3" max="3" width="42" customWidth="1"/>
    <col min="4" max="4" width="11" customWidth="1"/>
    <col min="5" max="5" width="16" customWidth="1"/>
    <col min="6" max="6" width="42" customWidth="1"/>
    <col min="7" max="7" width="30" customWidth="1"/>
    <col min="8" max="8" width="34" customWidth="1"/>
    <col min="9" max="9" width="33" customWidth="1"/>
    <col min="10" max="10" width="11" customWidth="1"/>
    <col min="11" max="11" width="42" customWidth="1"/>
    <col min="12" max="12" width="16" customWidth="1"/>
    <col min="13" max="13" width="15" customWidth="1"/>
    <col min="14" max="14" width="12" customWidth="1"/>
    <col min="15" max="15" width="42" customWidth="1"/>
  </cols>
  <sheetData>
    <row r="1" spans="1:15" ht="34.049999999999997" customHeight="1" x14ac:dyDescent="0.25">
      <c r="A1" s="21" t="s">
        <v>1475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31.95" customHeight="1" x14ac:dyDescent="0.25">
      <c r="A2" s="20" t="s">
        <v>1476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spans="1:15" ht="34.049999999999997" customHeight="1" x14ac:dyDescent="0.25">
      <c r="A4" s="5" t="s">
        <v>1477</v>
      </c>
      <c r="B4" s="5" t="s">
        <v>1478</v>
      </c>
      <c r="C4" s="5" t="s">
        <v>1479</v>
      </c>
      <c r="D4" s="5" t="s">
        <v>1480</v>
      </c>
      <c r="E4" s="5" t="s">
        <v>1481</v>
      </c>
      <c r="F4" s="5" t="s">
        <v>1482</v>
      </c>
      <c r="G4" s="5" t="s">
        <v>1483</v>
      </c>
      <c r="H4" s="5" t="s">
        <v>1484</v>
      </c>
      <c r="I4" s="5" t="s">
        <v>1485</v>
      </c>
      <c r="J4" s="5" t="s">
        <v>1486</v>
      </c>
      <c r="K4" s="5" t="s">
        <v>1487</v>
      </c>
      <c r="L4" s="5" t="s">
        <v>38</v>
      </c>
      <c r="M4" s="5" t="s">
        <v>778</v>
      </c>
      <c r="N4" s="5" t="s">
        <v>41</v>
      </c>
      <c r="O4" s="5" t="s">
        <v>782</v>
      </c>
    </row>
    <row r="5" spans="1:15" ht="30" customHeight="1" x14ac:dyDescent="0.25">
      <c r="A5" s="6" t="s">
        <v>1488</v>
      </c>
      <c r="B5" s="6" t="s">
        <v>1489</v>
      </c>
      <c r="C5" s="7" t="s">
        <v>1490</v>
      </c>
      <c r="D5" s="7" t="s">
        <v>1491</v>
      </c>
      <c r="E5" s="7" t="s">
        <v>60</v>
      </c>
      <c r="F5" s="7" t="s">
        <v>61</v>
      </c>
      <c r="G5" s="7" t="s">
        <v>1492</v>
      </c>
      <c r="H5" s="7" t="s">
        <v>1493</v>
      </c>
      <c r="I5" s="7" t="s">
        <v>1494</v>
      </c>
      <c r="J5" s="7" t="s">
        <v>1495</v>
      </c>
      <c r="K5" s="7" t="s">
        <v>1496</v>
      </c>
      <c r="L5" s="7" t="s">
        <v>66</v>
      </c>
      <c r="M5" s="7" t="s">
        <v>13</v>
      </c>
      <c r="N5" s="7" t="s">
        <v>68</v>
      </c>
      <c r="O5" s="7" t="s">
        <v>1497</v>
      </c>
    </row>
    <row r="6" spans="1:15" ht="30" customHeight="1" x14ac:dyDescent="0.25">
      <c r="A6" s="6" t="s">
        <v>1498</v>
      </c>
      <c r="B6" s="6" t="s">
        <v>1489</v>
      </c>
      <c r="C6" s="7" t="s">
        <v>1490</v>
      </c>
      <c r="D6" s="7" t="s">
        <v>1491</v>
      </c>
      <c r="E6" s="7" t="s">
        <v>75</v>
      </c>
      <c r="F6" s="7" t="s">
        <v>76</v>
      </c>
      <c r="G6" s="7" t="s">
        <v>1492</v>
      </c>
      <c r="H6" s="7" t="s">
        <v>1493</v>
      </c>
      <c r="I6" s="7" t="s">
        <v>1494</v>
      </c>
      <c r="J6" s="7" t="s">
        <v>1495</v>
      </c>
      <c r="K6" s="7" t="s">
        <v>1496</v>
      </c>
      <c r="L6" s="7" t="s">
        <v>48</v>
      </c>
      <c r="M6" s="7" t="s">
        <v>13</v>
      </c>
      <c r="N6" s="7" t="s">
        <v>68</v>
      </c>
      <c r="O6" s="7" t="s">
        <v>1497</v>
      </c>
    </row>
    <row r="7" spans="1:15" ht="30" customHeight="1" x14ac:dyDescent="0.25">
      <c r="A7" s="6" t="s">
        <v>1499</v>
      </c>
      <c r="B7" s="6" t="s">
        <v>1489</v>
      </c>
      <c r="C7" s="7" t="s">
        <v>1490</v>
      </c>
      <c r="D7" s="7" t="s">
        <v>1491</v>
      </c>
      <c r="E7" s="7" t="s">
        <v>79</v>
      </c>
      <c r="F7" s="7" t="s">
        <v>80</v>
      </c>
      <c r="G7" s="7" t="s">
        <v>1492</v>
      </c>
      <c r="H7" s="7" t="s">
        <v>1493</v>
      </c>
      <c r="I7" s="7" t="s">
        <v>1494</v>
      </c>
      <c r="J7" s="7" t="s">
        <v>1495</v>
      </c>
      <c r="K7" s="7" t="s">
        <v>1496</v>
      </c>
      <c r="L7" s="7" t="s">
        <v>48</v>
      </c>
      <c r="M7" s="7" t="s">
        <v>13</v>
      </c>
      <c r="N7" s="7" t="s">
        <v>68</v>
      </c>
      <c r="O7" s="7" t="s">
        <v>1497</v>
      </c>
    </row>
    <row r="8" spans="1:15" ht="30" customHeight="1" x14ac:dyDescent="0.25">
      <c r="A8" s="6" t="s">
        <v>1500</v>
      </c>
      <c r="B8" s="6" t="s">
        <v>1489</v>
      </c>
      <c r="C8" s="7" t="s">
        <v>1490</v>
      </c>
      <c r="D8" s="7" t="s">
        <v>1491</v>
      </c>
      <c r="E8" s="7" t="s">
        <v>309</v>
      </c>
      <c r="F8" s="7" t="s">
        <v>310</v>
      </c>
      <c r="G8" s="7" t="s">
        <v>1492</v>
      </c>
      <c r="H8" s="7" t="s">
        <v>1493</v>
      </c>
      <c r="I8" s="7" t="s">
        <v>1494</v>
      </c>
      <c r="J8" s="7" t="s">
        <v>1495</v>
      </c>
      <c r="K8" s="7" t="s">
        <v>1496</v>
      </c>
      <c r="L8" s="7" t="s">
        <v>48</v>
      </c>
      <c r="M8" s="7" t="s">
        <v>13</v>
      </c>
      <c r="N8" s="7" t="s">
        <v>68</v>
      </c>
      <c r="O8" s="7" t="s">
        <v>1497</v>
      </c>
    </row>
    <row r="9" spans="1:15" ht="30" customHeight="1" x14ac:dyDescent="0.25">
      <c r="A9" s="6" t="s">
        <v>1501</v>
      </c>
      <c r="B9" s="6" t="s">
        <v>1489</v>
      </c>
      <c r="C9" s="7" t="s">
        <v>1490</v>
      </c>
      <c r="D9" s="7" t="s">
        <v>1491</v>
      </c>
      <c r="E9" s="7" t="s">
        <v>313</v>
      </c>
      <c r="F9" s="7" t="s">
        <v>314</v>
      </c>
      <c r="G9" s="7" t="s">
        <v>1492</v>
      </c>
      <c r="H9" s="7" t="s">
        <v>1493</v>
      </c>
      <c r="I9" s="7" t="s">
        <v>1494</v>
      </c>
      <c r="J9" s="7" t="s">
        <v>1495</v>
      </c>
      <c r="K9" s="7" t="s">
        <v>1496</v>
      </c>
      <c r="L9" s="7" t="s">
        <v>48</v>
      </c>
      <c r="M9" s="7" t="s">
        <v>13</v>
      </c>
      <c r="N9" s="7" t="s">
        <v>68</v>
      </c>
      <c r="O9" s="7" t="s">
        <v>1497</v>
      </c>
    </row>
    <row r="10" spans="1:15" ht="30" customHeight="1" x14ac:dyDescent="0.25">
      <c r="A10" s="6" t="s">
        <v>1502</v>
      </c>
      <c r="B10" s="6" t="s">
        <v>1503</v>
      </c>
      <c r="C10" s="7" t="s">
        <v>1504</v>
      </c>
      <c r="D10" s="7" t="s">
        <v>1505</v>
      </c>
      <c r="E10" s="7" t="s">
        <v>69</v>
      </c>
      <c r="F10" s="7" t="s">
        <v>70</v>
      </c>
      <c r="G10" s="7" t="s">
        <v>1492</v>
      </c>
      <c r="H10" s="7" t="s">
        <v>1493</v>
      </c>
      <c r="I10" s="7" t="s">
        <v>1494</v>
      </c>
      <c r="J10" s="7" t="s">
        <v>1495</v>
      </c>
      <c r="K10" s="7" t="s">
        <v>1496</v>
      </c>
      <c r="L10" s="7" t="s">
        <v>48</v>
      </c>
      <c r="M10" s="7" t="s">
        <v>13</v>
      </c>
      <c r="N10" s="7" t="s">
        <v>74</v>
      </c>
      <c r="O10" s="7" t="s">
        <v>1497</v>
      </c>
    </row>
    <row r="11" spans="1:15" ht="30" customHeight="1" x14ac:dyDescent="0.25">
      <c r="A11" s="6" t="s">
        <v>1506</v>
      </c>
      <c r="B11" s="6" t="s">
        <v>1503</v>
      </c>
      <c r="C11" s="7" t="s">
        <v>1504</v>
      </c>
      <c r="D11" s="7" t="s">
        <v>1505</v>
      </c>
      <c r="E11" s="7" t="s">
        <v>158</v>
      </c>
      <c r="F11" s="7" t="s">
        <v>159</v>
      </c>
      <c r="G11" s="7" t="s">
        <v>1492</v>
      </c>
      <c r="H11" s="7" t="s">
        <v>1493</v>
      </c>
      <c r="I11" s="7" t="s">
        <v>1494</v>
      </c>
      <c r="J11" s="7" t="s">
        <v>1495</v>
      </c>
      <c r="K11" s="7" t="s">
        <v>1496</v>
      </c>
      <c r="L11" s="7" t="s">
        <v>48</v>
      </c>
      <c r="M11" s="7" t="s">
        <v>13</v>
      </c>
      <c r="N11" s="7" t="s">
        <v>74</v>
      </c>
      <c r="O11" s="7" t="s">
        <v>1497</v>
      </c>
    </row>
    <row r="12" spans="1:15" ht="30" customHeight="1" x14ac:dyDescent="0.25">
      <c r="A12" s="6" t="s">
        <v>1507</v>
      </c>
      <c r="B12" s="6" t="s">
        <v>1503</v>
      </c>
      <c r="C12" s="7" t="s">
        <v>1504</v>
      </c>
      <c r="D12" s="7" t="s">
        <v>1505</v>
      </c>
      <c r="E12" s="7" t="s">
        <v>161</v>
      </c>
      <c r="F12" s="7" t="s">
        <v>162</v>
      </c>
      <c r="G12" s="7" t="s">
        <v>1492</v>
      </c>
      <c r="H12" s="7" t="s">
        <v>1493</v>
      </c>
      <c r="I12" s="7" t="s">
        <v>1494</v>
      </c>
      <c r="J12" s="7" t="s">
        <v>1495</v>
      </c>
      <c r="K12" s="7" t="s">
        <v>1496</v>
      </c>
      <c r="L12" s="7" t="s">
        <v>48</v>
      </c>
      <c r="M12" s="7" t="s">
        <v>13</v>
      </c>
      <c r="N12" s="7" t="s">
        <v>74</v>
      </c>
      <c r="O12" s="7" t="s">
        <v>1497</v>
      </c>
    </row>
    <row r="13" spans="1:15" ht="30" customHeight="1" x14ac:dyDescent="0.25">
      <c r="A13" s="6" t="s">
        <v>1508</v>
      </c>
      <c r="B13" s="6" t="s">
        <v>1503</v>
      </c>
      <c r="C13" s="7" t="s">
        <v>1504</v>
      </c>
      <c r="D13" s="7" t="s">
        <v>1505</v>
      </c>
      <c r="E13" s="7" t="s">
        <v>165</v>
      </c>
      <c r="F13" s="7" t="s">
        <v>166</v>
      </c>
      <c r="G13" s="7" t="s">
        <v>1492</v>
      </c>
      <c r="H13" s="7" t="s">
        <v>1493</v>
      </c>
      <c r="I13" s="7" t="s">
        <v>1494</v>
      </c>
      <c r="J13" s="7" t="s">
        <v>1495</v>
      </c>
      <c r="K13" s="7" t="s">
        <v>1496</v>
      </c>
      <c r="L13" s="7" t="s">
        <v>48</v>
      </c>
      <c r="M13" s="7" t="s">
        <v>13</v>
      </c>
      <c r="N13" s="7" t="s">
        <v>74</v>
      </c>
      <c r="O13" s="7" t="s">
        <v>1497</v>
      </c>
    </row>
    <row r="14" spans="1:15" ht="30" customHeight="1" x14ac:dyDescent="0.25">
      <c r="A14" s="6" t="s">
        <v>1509</v>
      </c>
      <c r="B14" s="6" t="s">
        <v>1503</v>
      </c>
      <c r="C14" s="7" t="s">
        <v>1504</v>
      </c>
      <c r="D14" s="7" t="s">
        <v>1505</v>
      </c>
      <c r="E14" s="7" t="s">
        <v>169</v>
      </c>
      <c r="F14" s="7" t="s">
        <v>170</v>
      </c>
      <c r="G14" s="7" t="s">
        <v>1492</v>
      </c>
      <c r="H14" s="7" t="s">
        <v>1493</v>
      </c>
      <c r="I14" s="7" t="s">
        <v>1494</v>
      </c>
      <c r="J14" s="7" t="s">
        <v>1495</v>
      </c>
      <c r="K14" s="7" t="s">
        <v>1496</v>
      </c>
      <c r="L14" s="7" t="s">
        <v>48</v>
      </c>
      <c r="M14" s="7" t="s">
        <v>13</v>
      </c>
      <c r="N14" s="7" t="s">
        <v>74</v>
      </c>
      <c r="O14" s="7" t="s">
        <v>1497</v>
      </c>
    </row>
    <row r="15" spans="1:15" ht="30" customHeight="1" x14ac:dyDescent="0.25">
      <c r="A15" s="6" t="s">
        <v>1510</v>
      </c>
      <c r="B15" s="6" t="s">
        <v>1503</v>
      </c>
      <c r="C15" s="7" t="s">
        <v>1504</v>
      </c>
      <c r="D15" s="7" t="s">
        <v>1505</v>
      </c>
      <c r="E15" s="7" t="s">
        <v>173</v>
      </c>
      <c r="F15" s="7" t="s">
        <v>174</v>
      </c>
      <c r="G15" s="7" t="s">
        <v>1492</v>
      </c>
      <c r="H15" s="7" t="s">
        <v>1493</v>
      </c>
      <c r="I15" s="7" t="s">
        <v>1494</v>
      </c>
      <c r="J15" s="7" t="s">
        <v>1495</v>
      </c>
      <c r="K15" s="7" t="s">
        <v>1496</v>
      </c>
      <c r="L15" s="7" t="s">
        <v>48</v>
      </c>
      <c r="M15" s="7" t="s">
        <v>13</v>
      </c>
      <c r="N15" s="7" t="s">
        <v>74</v>
      </c>
      <c r="O15" s="7" t="s">
        <v>1497</v>
      </c>
    </row>
    <row r="16" spans="1:15" ht="30" customHeight="1" x14ac:dyDescent="0.25">
      <c r="A16" s="6" t="s">
        <v>1511</v>
      </c>
      <c r="B16" s="6" t="s">
        <v>1503</v>
      </c>
      <c r="C16" s="7" t="s">
        <v>1504</v>
      </c>
      <c r="D16" s="7" t="s">
        <v>1505</v>
      </c>
      <c r="E16" s="7" t="s">
        <v>176</v>
      </c>
      <c r="F16" s="7" t="s">
        <v>177</v>
      </c>
      <c r="G16" s="7" t="s">
        <v>1492</v>
      </c>
      <c r="H16" s="7" t="s">
        <v>1493</v>
      </c>
      <c r="I16" s="7" t="s">
        <v>1494</v>
      </c>
      <c r="J16" s="7" t="s">
        <v>1495</v>
      </c>
      <c r="K16" s="7" t="s">
        <v>1496</v>
      </c>
      <c r="L16" s="7" t="s">
        <v>48</v>
      </c>
      <c r="M16" s="7" t="s">
        <v>13</v>
      </c>
      <c r="N16" s="7" t="s">
        <v>74</v>
      </c>
      <c r="O16" s="7" t="s">
        <v>1497</v>
      </c>
    </row>
    <row r="17" spans="1:15" ht="30" customHeight="1" x14ac:dyDescent="0.25">
      <c r="A17" s="6" t="s">
        <v>1512</v>
      </c>
      <c r="B17" s="6" t="s">
        <v>1503</v>
      </c>
      <c r="C17" s="7" t="s">
        <v>1504</v>
      </c>
      <c r="D17" s="7" t="s">
        <v>1505</v>
      </c>
      <c r="E17" s="7" t="s">
        <v>180</v>
      </c>
      <c r="F17" s="7" t="s">
        <v>181</v>
      </c>
      <c r="G17" s="7" t="s">
        <v>1492</v>
      </c>
      <c r="H17" s="7" t="s">
        <v>1493</v>
      </c>
      <c r="I17" s="7" t="s">
        <v>1494</v>
      </c>
      <c r="J17" s="7" t="s">
        <v>1495</v>
      </c>
      <c r="K17" s="7" t="s">
        <v>1496</v>
      </c>
      <c r="L17" s="7" t="s">
        <v>48</v>
      </c>
      <c r="M17" s="7" t="s">
        <v>13</v>
      </c>
      <c r="N17" s="7" t="s">
        <v>74</v>
      </c>
      <c r="O17" s="7" t="s">
        <v>1497</v>
      </c>
    </row>
    <row r="18" spans="1:15" ht="30" customHeight="1" x14ac:dyDescent="0.25">
      <c r="A18" s="6" t="s">
        <v>1513</v>
      </c>
      <c r="B18" s="6" t="s">
        <v>1503</v>
      </c>
      <c r="C18" s="7" t="s">
        <v>1504</v>
      </c>
      <c r="D18" s="7" t="s">
        <v>1505</v>
      </c>
      <c r="E18" s="7" t="s">
        <v>183</v>
      </c>
      <c r="F18" s="7" t="s">
        <v>184</v>
      </c>
      <c r="G18" s="7" t="s">
        <v>1492</v>
      </c>
      <c r="H18" s="7" t="s">
        <v>1493</v>
      </c>
      <c r="I18" s="7" t="s">
        <v>1494</v>
      </c>
      <c r="J18" s="7" t="s">
        <v>1495</v>
      </c>
      <c r="K18" s="7" t="s">
        <v>1496</v>
      </c>
      <c r="L18" s="7" t="s">
        <v>48</v>
      </c>
      <c r="M18" s="7" t="s">
        <v>13</v>
      </c>
      <c r="N18" s="7" t="s">
        <v>74</v>
      </c>
      <c r="O18" s="7" t="s">
        <v>1497</v>
      </c>
    </row>
    <row r="19" spans="1:15" ht="30" customHeight="1" x14ac:dyDescent="0.25">
      <c r="A19" s="6" t="s">
        <v>1514</v>
      </c>
      <c r="B19" s="6" t="s">
        <v>1503</v>
      </c>
      <c r="C19" s="7" t="s">
        <v>1504</v>
      </c>
      <c r="D19" s="7" t="s">
        <v>1505</v>
      </c>
      <c r="E19" s="7" t="s">
        <v>188</v>
      </c>
      <c r="F19" s="7" t="s">
        <v>189</v>
      </c>
      <c r="G19" s="7" t="s">
        <v>1492</v>
      </c>
      <c r="H19" s="7" t="s">
        <v>1493</v>
      </c>
      <c r="I19" s="7" t="s">
        <v>1494</v>
      </c>
      <c r="J19" s="7" t="s">
        <v>1495</v>
      </c>
      <c r="K19" s="7" t="s">
        <v>1496</v>
      </c>
      <c r="L19" s="7" t="s">
        <v>48</v>
      </c>
      <c r="M19" s="7" t="s">
        <v>13</v>
      </c>
      <c r="N19" s="7" t="s">
        <v>74</v>
      </c>
      <c r="O19" s="7" t="s">
        <v>1497</v>
      </c>
    </row>
    <row r="20" spans="1:15" ht="30" customHeight="1" x14ac:dyDescent="0.25">
      <c r="A20" s="6" t="s">
        <v>1515</v>
      </c>
      <c r="B20" s="6" t="s">
        <v>1503</v>
      </c>
      <c r="C20" s="7" t="s">
        <v>1504</v>
      </c>
      <c r="D20" s="7" t="s">
        <v>1505</v>
      </c>
      <c r="E20" s="7" t="s">
        <v>191</v>
      </c>
      <c r="F20" s="7" t="s">
        <v>192</v>
      </c>
      <c r="G20" s="7" t="s">
        <v>1492</v>
      </c>
      <c r="H20" s="7" t="s">
        <v>1493</v>
      </c>
      <c r="I20" s="7" t="s">
        <v>1494</v>
      </c>
      <c r="J20" s="7" t="s">
        <v>1495</v>
      </c>
      <c r="K20" s="7" t="s">
        <v>1496</v>
      </c>
      <c r="L20" s="7" t="s">
        <v>48</v>
      </c>
      <c r="M20" s="7" t="s">
        <v>13</v>
      </c>
      <c r="N20" s="7" t="s">
        <v>74</v>
      </c>
      <c r="O20" s="7" t="s">
        <v>1497</v>
      </c>
    </row>
    <row r="21" spans="1:15" ht="30" customHeight="1" x14ac:dyDescent="0.25">
      <c r="A21" s="6" t="s">
        <v>1516</v>
      </c>
      <c r="B21" s="6" t="s">
        <v>1503</v>
      </c>
      <c r="C21" s="7" t="s">
        <v>1504</v>
      </c>
      <c r="D21" s="7" t="s">
        <v>1505</v>
      </c>
      <c r="E21" s="7" t="s">
        <v>194</v>
      </c>
      <c r="F21" s="7" t="s">
        <v>195</v>
      </c>
      <c r="G21" s="7" t="s">
        <v>1492</v>
      </c>
      <c r="H21" s="7" t="s">
        <v>1493</v>
      </c>
      <c r="I21" s="7" t="s">
        <v>1494</v>
      </c>
      <c r="J21" s="7" t="s">
        <v>1495</v>
      </c>
      <c r="K21" s="7" t="s">
        <v>1496</v>
      </c>
      <c r="L21" s="7" t="s">
        <v>48</v>
      </c>
      <c r="M21" s="7" t="s">
        <v>13</v>
      </c>
      <c r="N21" s="7" t="s">
        <v>74</v>
      </c>
      <c r="O21" s="7" t="s">
        <v>1497</v>
      </c>
    </row>
    <row r="22" spans="1:15" ht="30" customHeight="1" x14ac:dyDescent="0.25">
      <c r="A22" s="6" t="s">
        <v>1517</v>
      </c>
      <c r="B22" s="6" t="s">
        <v>1503</v>
      </c>
      <c r="C22" s="7" t="s">
        <v>1504</v>
      </c>
      <c r="D22" s="7" t="s">
        <v>1505</v>
      </c>
      <c r="E22" s="7" t="s">
        <v>196</v>
      </c>
      <c r="F22" s="7" t="s">
        <v>197</v>
      </c>
      <c r="G22" s="7" t="s">
        <v>1492</v>
      </c>
      <c r="H22" s="7" t="s">
        <v>1493</v>
      </c>
      <c r="I22" s="7" t="s">
        <v>1494</v>
      </c>
      <c r="J22" s="7" t="s">
        <v>1495</v>
      </c>
      <c r="K22" s="7" t="s">
        <v>1496</v>
      </c>
      <c r="L22" s="7" t="s">
        <v>48</v>
      </c>
      <c r="M22" s="7" t="s">
        <v>13</v>
      </c>
      <c r="N22" s="7" t="s">
        <v>74</v>
      </c>
      <c r="O22" s="7" t="s">
        <v>1497</v>
      </c>
    </row>
    <row r="23" spans="1:15" ht="30" customHeight="1" x14ac:dyDescent="0.25">
      <c r="A23" s="6" t="s">
        <v>1518</v>
      </c>
      <c r="B23" s="6" t="s">
        <v>1503</v>
      </c>
      <c r="C23" s="7" t="s">
        <v>1504</v>
      </c>
      <c r="D23" s="7" t="s">
        <v>1505</v>
      </c>
      <c r="E23" s="7" t="s">
        <v>201</v>
      </c>
      <c r="F23" s="7" t="s">
        <v>202</v>
      </c>
      <c r="G23" s="7" t="s">
        <v>1492</v>
      </c>
      <c r="H23" s="7" t="s">
        <v>1493</v>
      </c>
      <c r="I23" s="7" t="s">
        <v>1494</v>
      </c>
      <c r="J23" s="7" t="s">
        <v>1495</v>
      </c>
      <c r="K23" s="7" t="s">
        <v>1496</v>
      </c>
      <c r="L23" s="7" t="s">
        <v>48</v>
      </c>
      <c r="M23" s="7" t="s">
        <v>13</v>
      </c>
      <c r="N23" s="7" t="s">
        <v>74</v>
      </c>
      <c r="O23" s="7" t="s">
        <v>1497</v>
      </c>
    </row>
    <row r="24" spans="1:15" ht="30" customHeight="1" x14ac:dyDescent="0.25">
      <c r="A24" s="6" t="s">
        <v>1519</v>
      </c>
      <c r="B24" s="6" t="s">
        <v>1503</v>
      </c>
      <c r="C24" s="7" t="s">
        <v>1504</v>
      </c>
      <c r="D24" s="7" t="s">
        <v>1505</v>
      </c>
      <c r="E24" s="7" t="s">
        <v>203</v>
      </c>
      <c r="F24" s="7" t="s">
        <v>204</v>
      </c>
      <c r="G24" s="7" t="s">
        <v>1492</v>
      </c>
      <c r="H24" s="7" t="s">
        <v>1493</v>
      </c>
      <c r="I24" s="7" t="s">
        <v>1494</v>
      </c>
      <c r="J24" s="7" t="s">
        <v>1495</v>
      </c>
      <c r="K24" s="7" t="s">
        <v>1496</v>
      </c>
      <c r="L24" s="7" t="s">
        <v>48</v>
      </c>
      <c r="M24" s="7" t="s">
        <v>13</v>
      </c>
      <c r="N24" s="7" t="s">
        <v>74</v>
      </c>
      <c r="O24" s="7" t="s">
        <v>1497</v>
      </c>
    </row>
    <row r="25" spans="1:15" ht="30" customHeight="1" x14ac:dyDescent="0.25">
      <c r="A25" s="6" t="s">
        <v>1520</v>
      </c>
      <c r="B25" s="6" t="s">
        <v>1503</v>
      </c>
      <c r="C25" s="7" t="s">
        <v>1504</v>
      </c>
      <c r="D25" s="7" t="s">
        <v>1505</v>
      </c>
      <c r="E25" s="7" t="s">
        <v>207</v>
      </c>
      <c r="F25" s="7" t="s">
        <v>208</v>
      </c>
      <c r="G25" s="7" t="s">
        <v>1492</v>
      </c>
      <c r="H25" s="7" t="s">
        <v>1493</v>
      </c>
      <c r="I25" s="7" t="s">
        <v>1494</v>
      </c>
      <c r="J25" s="7" t="s">
        <v>1495</v>
      </c>
      <c r="K25" s="7" t="s">
        <v>1496</v>
      </c>
      <c r="L25" s="7" t="s">
        <v>48</v>
      </c>
      <c r="M25" s="7" t="s">
        <v>13</v>
      </c>
      <c r="N25" s="7" t="s">
        <v>74</v>
      </c>
      <c r="O25" s="7" t="s">
        <v>1497</v>
      </c>
    </row>
    <row r="26" spans="1:15" ht="30" customHeight="1" x14ac:dyDescent="0.25">
      <c r="A26" s="6" t="s">
        <v>1521</v>
      </c>
      <c r="B26" s="6" t="s">
        <v>1503</v>
      </c>
      <c r="C26" s="7" t="s">
        <v>1504</v>
      </c>
      <c r="D26" s="7" t="s">
        <v>1505</v>
      </c>
      <c r="E26" s="7" t="s">
        <v>210</v>
      </c>
      <c r="F26" s="7" t="s">
        <v>211</v>
      </c>
      <c r="G26" s="7" t="s">
        <v>1492</v>
      </c>
      <c r="H26" s="7" t="s">
        <v>1493</v>
      </c>
      <c r="I26" s="7" t="s">
        <v>1494</v>
      </c>
      <c r="J26" s="7" t="s">
        <v>1495</v>
      </c>
      <c r="K26" s="7" t="s">
        <v>1496</v>
      </c>
      <c r="L26" s="7" t="s">
        <v>48</v>
      </c>
      <c r="M26" s="7" t="s">
        <v>13</v>
      </c>
      <c r="N26" s="7" t="s">
        <v>74</v>
      </c>
      <c r="O26" s="7" t="s">
        <v>1497</v>
      </c>
    </row>
    <row r="27" spans="1:15" ht="30" customHeight="1" x14ac:dyDescent="0.25">
      <c r="A27" s="6" t="s">
        <v>1522</v>
      </c>
      <c r="B27" s="6" t="s">
        <v>1503</v>
      </c>
      <c r="C27" s="7" t="s">
        <v>1504</v>
      </c>
      <c r="D27" s="7" t="s">
        <v>1505</v>
      </c>
      <c r="E27" s="7" t="s">
        <v>212</v>
      </c>
      <c r="F27" s="7" t="s">
        <v>213</v>
      </c>
      <c r="G27" s="7" t="s">
        <v>1492</v>
      </c>
      <c r="H27" s="7" t="s">
        <v>1493</v>
      </c>
      <c r="I27" s="7" t="s">
        <v>1494</v>
      </c>
      <c r="J27" s="7" t="s">
        <v>1495</v>
      </c>
      <c r="K27" s="7" t="s">
        <v>1496</v>
      </c>
      <c r="L27" s="7" t="s">
        <v>48</v>
      </c>
      <c r="M27" s="7" t="s">
        <v>13</v>
      </c>
      <c r="N27" s="7" t="s">
        <v>74</v>
      </c>
      <c r="O27" s="7" t="s">
        <v>1497</v>
      </c>
    </row>
    <row r="28" spans="1:15" ht="30" customHeight="1" x14ac:dyDescent="0.25">
      <c r="A28" s="6" t="s">
        <v>1523</v>
      </c>
      <c r="B28" s="6" t="s">
        <v>1503</v>
      </c>
      <c r="C28" s="7" t="s">
        <v>1504</v>
      </c>
      <c r="D28" s="7" t="s">
        <v>1505</v>
      </c>
      <c r="E28" s="7" t="s">
        <v>215</v>
      </c>
      <c r="F28" s="7" t="s">
        <v>216</v>
      </c>
      <c r="G28" s="7" t="s">
        <v>1492</v>
      </c>
      <c r="H28" s="7" t="s">
        <v>1493</v>
      </c>
      <c r="I28" s="7" t="s">
        <v>1494</v>
      </c>
      <c r="J28" s="7" t="s">
        <v>1495</v>
      </c>
      <c r="K28" s="7" t="s">
        <v>1496</v>
      </c>
      <c r="L28" s="7" t="s">
        <v>48</v>
      </c>
      <c r="M28" s="7" t="s">
        <v>13</v>
      </c>
      <c r="N28" s="7" t="s">
        <v>74</v>
      </c>
      <c r="O28" s="7" t="s">
        <v>1497</v>
      </c>
    </row>
    <row r="29" spans="1:15" ht="30" customHeight="1" x14ac:dyDescent="0.25">
      <c r="A29" s="6" t="s">
        <v>1524</v>
      </c>
      <c r="B29" s="6" t="s">
        <v>1503</v>
      </c>
      <c r="C29" s="7" t="s">
        <v>1504</v>
      </c>
      <c r="D29" s="7" t="s">
        <v>1505</v>
      </c>
      <c r="E29" s="7" t="s">
        <v>218</v>
      </c>
      <c r="F29" s="7" t="s">
        <v>219</v>
      </c>
      <c r="G29" s="7" t="s">
        <v>1492</v>
      </c>
      <c r="H29" s="7" t="s">
        <v>1493</v>
      </c>
      <c r="I29" s="7" t="s">
        <v>1494</v>
      </c>
      <c r="J29" s="7" t="s">
        <v>1495</v>
      </c>
      <c r="K29" s="7" t="s">
        <v>1496</v>
      </c>
      <c r="L29" s="7" t="s">
        <v>48</v>
      </c>
      <c r="M29" s="7" t="s">
        <v>13</v>
      </c>
      <c r="N29" s="7" t="s">
        <v>74</v>
      </c>
      <c r="O29" s="7" t="s">
        <v>1497</v>
      </c>
    </row>
    <row r="30" spans="1:15" ht="30" customHeight="1" x14ac:dyDescent="0.25">
      <c r="A30" s="6" t="s">
        <v>1525</v>
      </c>
      <c r="B30" s="6" t="s">
        <v>1503</v>
      </c>
      <c r="C30" s="7" t="s">
        <v>1504</v>
      </c>
      <c r="D30" s="7" t="s">
        <v>1505</v>
      </c>
      <c r="E30" s="7" t="s">
        <v>222</v>
      </c>
      <c r="F30" s="7" t="s">
        <v>223</v>
      </c>
      <c r="G30" s="7" t="s">
        <v>1492</v>
      </c>
      <c r="H30" s="7" t="s">
        <v>1493</v>
      </c>
      <c r="I30" s="7" t="s">
        <v>1494</v>
      </c>
      <c r="J30" s="7" t="s">
        <v>1495</v>
      </c>
      <c r="K30" s="7" t="s">
        <v>1496</v>
      </c>
      <c r="L30" s="7" t="s">
        <v>48</v>
      </c>
      <c r="M30" s="7" t="s">
        <v>13</v>
      </c>
      <c r="N30" s="7" t="s">
        <v>74</v>
      </c>
      <c r="O30" s="7" t="s">
        <v>1497</v>
      </c>
    </row>
    <row r="31" spans="1:15" ht="30" customHeight="1" x14ac:dyDescent="0.25">
      <c r="A31" s="6" t="s">
        <v>1526</v>
      </c>
      <c r="B31" s="6" t="s">
        <v>1503</v>
      </c>
      <c r="C31" s="7" t="s">
        <v>1504</v>
      </c>
      <c r="D31" s="7" t="s">
        <v>1505</v>
      </c>
      <c r="E31" s="7" t="s">
        <v>226</v>
      </c>
      <c r="F31" s="7" t="s">
        <v>227</v>
      </c>
      <c r="G31" s="7" t="s">
        <v>1492</v>
      </c>
      <c r="H31" s="7" t="s">
        <v>1493</v>
      </c>
      <c r="I31" s="7" t="s">
        <v>1494</v>
      </c>
      <c r="J31" s="7" t="s">
        <v>1495</v>
      </c>
      <c r="K31" s="7" t="s">
        <v>1496</v>
      </c>
      <c r="L31" s="7" t="s">
        <v>48</v>
      </c>
      <c r="M31" s="7" t="s">
        <v>13</v>
      </c>
      <c r="N31" s="7" t="s">
        <v>74</v>
      </c>
      <c r="O31" s="7" t="s">
        <v>1497</v>
      </c>
    </row>
    <row r="32" spans="1:15" ht="30" customHeight="1" x14ac:dyDescent="0.25">
      <c r="A32" s="6" t="s">
        <v>1527</v>
      </c>
      <c r="B32" s="6" t="s">
        <v>1503</v>
      </c>
      <c r="C32" s="7" t="s">
        <v>1504</v>
      </c>
      <c r="D32" s="7" t="s">
        <v>1505</v>
      </c>
      <c r="E32" s="7" t="s">
        <v>229</v>
      </c>
      <c r="F32" s="7" t="s">
        <v>230</v>
      </c>
      <c r="G32" s="7" t="s">
        <v>1492</v>
      </c>
      <c r="H32" s="7" t="s">
        <v>1493</v>
      </c>
      <c r="I32" s="7" t="s">
        <v>1494</v>
      </c>
      <c r="J32" s="7" t="s">
        <v>1495</v>
      </c>
      <c r="K32" s="7" t="s">
        <v>1496</v>
      </c>
      <c r="L32" s="7" t="s">
        <v>48</v>
      </c>
      <c r="M32" s="7" t="s">
        <v>13</v>
      </c>
      <c r="N32" s="7" t="s">
        <v>74</v>
      </c>
      <c r="O32" s="7" t="s">
        <v>1497</v>
      </c>
    </row>
    <row r="33" spans="1:15" ht="30" customHeight="1" x14ac:dyDescent="0.25">
      <c r="A33" s="6" t="s">
        <v>1528</v>
      </c>
      <c r="B33" s="6" t="s">
        <v>1503</v>
      </c>
      <c r="C33" s="7" t="s">
        <v>1504</v>
      </c>
      <c r="D33" s="7" t="s">
        <v>1505</v>
      </c>
      <c r="E33" s="7" t="s">
        <v>232</v>
      </c>
      <c r="F33" s="7" t="s">
        <v>233</v>
      </c>
      <c r="G33" s="7" t="s">
        <v>1492</v>
      </c>
      <c r="H33" s="7" t="s">
        <v>1493</v>
      </c>
      <c r="I33" s="7" t="s">
        <v>1494</v>
      </c>
      <c r="J33" s="7" t="s">
        <v>1495</v>
      </c>
      <c r="K33" s="7" t="s">
        <v>1496</v>
      </c>
      <c r="L33" s="7" t="s">
        <v>48</v>
      </c>
      <c r="M33" s="7" t="s">
        <v>13</v>
      </c>
      <c r="N33" s="7" t="s">
        <v>74</v>
      </c>
      <c r="O33" s="7" t="s">
        <v>1497</v>
      </c>
    </row>
    <row r="34" spans="1:15" ht="30" customHeight="1" x14ac:dyDescent="0.25">
      <c r="A34" s="6" t="s">
        <v>1529</v>
      </c>
      <c r="B34" s="6" t="s">
        <v>1503</v>
      </c>
      <c r="C34" s="7" t="s">
        <v>1504</v>
      </c>
      <c r="D34" s="7" t="s">
        <v>1505</v>
      </c>
      <c r="E34" s="7" t="s">
        <v>235</v>
      </c>
      <c r="F34" s="7" t="s">
        <v>236</v>
      </c>
      <c r="G34" s="7" t="s">
        <v>1492</v>
      </c>
      <c r="H34" s="7" t="s">
        <v>1493</v>
      </c>
      <c r="I34" s="7" t="s">
        <v>1494</v>
      </c>
      <c r="J34" s="7" t="s">
        <v>1495</v>
      </c>
      <c r="K34" s="7" t="s">
        <v>1496</v>
      </c>
      <c r="L34" s="7" t="s">
        <v>48</v>
      </c>
      <c r="M34" s="7" t="s">
        <v>13</v>
      </c>
      <c r="N34" s="7" t="s">
        <v>74</v>
      </c>
      <c r="O34" s="7" t="s">
        <v>1497</v>
      </c>
    </row>
    <row r="35" spans="1:15" ht="30" customHeight="1" x14ac:dyDescent="0.25">
      <c r="A35" s="6" t="s">
        <v>1530</v>
      </c>
      <c r="B35" s="6" t="s">
        <v>1503</v>
      </c>
      <c r="C35" s="7" t="s">
        <v>1504</v>
      </c>
      <c r="D35" s="7" t="s">
        <v>1505</v>
      </c>
      <c r="E35" s="7" t="s">
        <v>238</v>
      </c>
      <c r="F35" s="7" t="s">
        <v>239</v>
      </c>
      <c r="G35" s="7" t="s">
        <v>1492</v>
      </c>
      <c r="H35" s="7" t="s">
        <v>1493</v>
      </c>
      <c r="I35" s="7" t="s">
        <v>1494</v>
      </c>
      <c r="J35" s="7" t="s">
        <v>1495</v>
      </c>
      <c r="K35" s="7" t="s">
        <v>1496</v>
      </c>
      <c r="L35" s="7" t="s">
        <v>48</v>
      </c>
      <c r="M35" s="7" t="s">
        <v>13</v>
      </c>
      <c r="N35" s="7" t="s">
        <v>74</v>
      </c>
      <c r="O35" s="7" t="s">
        <v>1497</v>
      </c>
    </row>
    <row r="36" spans="1:15" ht="30" customHeight="1" x14ac:dyDescent="0.25">
      <c r="A36" s="6" t="s">
        <v>1531</v>
      </c>
      <c r="B36" s="6" t="s">
        <v>1503</v>
      </c>
      <c r="C36" s="7" t="s">
        <v>1504</v>
      </c>
      <c r="D36" s="7" t="s">
        <v>1505</v>
      </c>
      <c r="E36" s="7" t="s">
        <v>241</v>
      </c>
      <c r="F36" s="7" t="s">
        <v>242</v>
      </c>
      <c r="G36" s="7" t="s">
        <v>1492</v>
      </c>
      <c r="H36" s="7" t="s">
        <v>1493</v>
      </c>
      <c r="I36" s="7" t="s">
        <v>1494</v>
      </c>
      <c r="J36" s="7" t="s">
        <v>1495</v>
      </c>
      <c r="K36" s="7" t="s">
        <v>1496</v>
      </c>
      <c r="L36" s="7" t="s">
        <v>48</v>
      </c>
      <c r="M36" s="7" t="s">
        <v>13</v>
      </c>
      <c r="N36" s="7" t="s">
        <v>74</v>
      </c>
      <c r="O36" s="7" t="s">
        <v>1497</v>
      </c>
    </row>
    <row r="37" spans="1:15" ht="30" customHeight="1" x14ac:dyDescent="0.25">
      <c r="A37" s="6" t="s">
        <v>1532</v>
      </c>
      <c r="B37" s="6" t="s">
        <v>1503</v>
      </c>
      <c r="C37" s="7" t="s">
        <v>1504</v>
      </c>
      <c r="D37" s="7" t="s">
        <v>1505</v>
      </c>
      <c r="E37" s="7" t="s">
        <v>309</v>
      </c>
      <c r="F37" s="7" t="s">
        <v>310</v>
      </c>
      <c r="G37" s="7" t="s">
        <v>1492</v>
      </c>
      <c r="H37" s="7" t="s">
        <v>1493</v>
      </c>
      <c r="I37" s="7" t="s">
        <v>1494</v>
      </c>
      <c r="J37" s="7" t="s">
        <v>1495</v>
      </c>
      <c r="K37" s="7" t="s">
        <v>1496</v>
      </c>
      <c r="L37" s="7" t="s">
        <v>48</v>
      </c>
      <c r="M37" s="7" t="s">
        <v>13</v>
      </c>
      <c r="N37" s="7" t="s">
        <v>74</v>
      </c>
      <c r="O37" s="7" t="s">
        <v>1497</v>
      </c>
    </row>
    <row r="38" spans="1:15" ht="30" customHeight="1" x14ac:dyDescent="0.25">
      <c r="A38" s="6" t="s">
        <v>1533</v>
      </c>
      <c r="B38" s="6" t="s">
        <v>1534</v>
      </c>
      <c r="C38" s="7" t="s">
        <v>1535</v>
      </c>
      <c r="D38" s="7" t="s">
        <v>1536</v>
      </c>
      <c r="E38" s="7" t="s">
        <v>42</v>
      </c>
      <c r="F38" s="7" t="s">
        <v>43</v>
      </c>
      <c r="G38" s="7" t="s">
        <v>1492</v>
      </c>
      <c r="H38" s="7" t="s">
        <v>1537</v>
      </c>
      <c r="I38" s="7" t="s">
        <v>1494</v>
      </c>
      <c r="J38" s="7" t="s">
        <v>1538</v>
      </c>
      <c r="K38" s="7" t="s">
        <v>1539</v>
      </c>
      <c r="L38" s="7" t="s">
        <v>48</v>
      </c>
      <c r="M38" s="7" t="s">
        <v>13</v>
      </c>
      <c r="N38" s="7" t="s">
        <v>1540</v>
      </c>
      <c r="O38" s="7" t="s">
        <v>1497</v>
      </c>
    </row>
    <row r="39" spans="1:15" ht="30" customHeight="1" x14ac:dyDescent="0.25">
      <c r="A39" s="6" t="s">
        <v>1541</v>
      </c>
      <c r="B39" s="6" t="s">
        <v>1534</v>
      </c>
      <c r="C39" s="7" t="s">
        <v>1535</v>
      </c>
      <c r="D39" s="7" t="s">
        <v>1536</v>
      </c>
      <c r="E39" s="7" t="s">
        <v>153</v>
      </c>
      <c r="F39" s="7" t="s">
        <v>154</v>
      </c>
      <c r="G39" s="7" t="s">
        <v>1492</v>
      </c>
      <c r="H39" s="7" t="s">
        <v>1537</v>
      </c>
      <c r="I39" s="7" t="s">
        <v>1494</v>
      </c>
      <c r="J39" s="7" t="s">
        <v>1538</v>
      </c>
      <c r="K39" s="7" t="s">
        <v>1539</v>
      </c>
      <c r="L39" s="7" t="s">
        <v>48</v>
      </c>
      <c r="M39" s="7" t="s">
        <v>13</v>
      </c>
      <c r="N39" s="7" t="s">
        <v>1540</v>
      </c>
      <c r="O39" s="7" t="s">
        <v>1497</v>
      </c>
    </row>
    <row r="40" spans="1:15" ht="30" customHeight="1" x14ac:dyDescent="0.25">
      <c r="A40" s="6" t="s">
        <v>1542</v>
      </c>
      <c r="B40" s="6" t="s">
        <v>1534</v>
      </c>
      <c r="C40" s="7" t="s">
        <v>1535</v>
      </c>
      <c r="D40" s="7" t="s">
        <v>1536</v>
      </c>
      <c r="E40" s="7" t="s">
        <v>1543</v>
      </c>
      <c r="F40" s="7" t="s">
        <v>1544</v>
      </c>
      <c r="G40" s="7" t="s">
        <v>1545</v>
      </c>
      <c r="H40" s="7" t="s">
        <v>1537</v>
      </c>
      <c r="I40" s="7" t="s">
        <v>1494</v>
      </c>
      <c r="J40" s="7" t="s">
        <v>1538</v>
      </c>
      <c r="K40" s="7" t="s">
        <v>1539</v>
      </c>
      <c r="L40" s="7" t="s">
        <v>126</v>
      </c>
      <c r="M40" s="7" t="s">
        <v>13</v>
      </c>
      <c r="N40" s="7" t="s">
        <v>1540</v>
      </c>
      <c r="O40" s="7" t="s">
        <v>1546</v>
      </c>
    </row>
    <row r="41" spans="1:15" ht="30" customHeight="1" x14ac:dyDescent="0.25">
      <c r="A41" s="6" t="s">
        <v>1547</v>
      </c>
      <c r="B41" s="6" t="s">
        <v>1534</v>
      </c>
      <c r="C41" s="7" t="s">
        <v>1535</v>
      </c>
      <c r="D41" s="7" t="s">
        <v>1536</v>
      </c>
      <c r="E41" s="7" t="s">
        <v>1548</v>
      </c>
      <c r="F41" s="7" t="s">
        <v>1549</v>
      </c>
      <c r="G41" s="7" t="s">
        <v>1545</v>
      </c>
      <c r="H41" s="7" t="s">
        <v>1537</v>
      </c>
      <c r="I41" s="7" t="s">
        <v>1494</v>
      </c>
      <c r="J41" s="7" t="s">
        <v>1538</v>
      </c>
      <c r="K41" s="7" t="s">
        <v>1539</v>
      </c>
      <c r="L41" s="7" t="s">
        <v>126</v>
      </c>
      <c r="M41" s="7" t="s">
        <v>13</v>
      </c>
      <c r="N41" s="7" t="s">
        <v>1540</v>
      </c>
      <c r="O41" s="7" t="s">
        <v>1546</v>
      </c>
    </row>
    <row r="42" spans="1:15" ht="30" customHeight="1" x14ac:dyDescent="0.25">
      <c r="A42" s="6" t="s">
        <v>1550</v>
      </c>
      <c r="B42" s="6" t="s">
        <v>1534</v>
      </c>
      <c r="C42" s="7" t="s">
        <v>1535</v>
      </c>
      <c r="D42" s="7" t="s">
        <v>1536</v>
      </c>
      <c r="E42" s="7" t="s">
        <v>1551</v>
      </c>
      <c r="F42" s="7" t="s">
        <v>1552</v>
      </c>
      <c r="G42" s="7" t="s">
        <v>1545</v>
      </c>
      <c r="H42" s="7" t="s">
        <v>1537</v>
      </c>
      <c r="I42" s="7" t="s">
        <v>1494</v>
      </c>
      <c r="J42" s="7" t="s">
        <v>1538</v>
      </c>
      <c r="K42" s="7" t="s">
        <v>1539</v>
      </c>
      <c r="L42" s="7" t="s">
        <v>126</v>
      </c>
      <c r="M42" s="7" t="s">
        <v>13</v>
      </c>
      <c r="N42" s="7" t="s">
        <v>1540</v>
      </c>
      <c r="O42" s="7" t="s">
        <v>1546</v>
      </c>
    </row>
    <row r="43" spans="1:15" ht="30" customHeight="1" x14ac:dyDescent="0.25">
      <c r="A43" s="6" t="s">
        <v>1553</v>
      </c>
      <c r="B43" s="6" t="s">
        <v>1534</v>
      </c>
      <c r="C43" s="7" t="s">
        <v>1535</v>
      </c>
      <c r="D43" s="7" t="s">
        <v>1536</v>
      </c>
      <c r="E43" s="7" t="s">
        <v>1554</v>
      </c>
      <c r="F43" s="7" t="s">
        <v>1555</v>
      </c>
      <c r="G43" s="7" t="s">
        <v>1545</v>
      </c>
      <c r="H43" s="7" t="s">
        <v>1537</v>
      </c>
      <c r="I43" s="7" t="s">
        <v>1494</v>
      </c>
      <c r="J43" s="7" t="s">
        <v>1538</v>
      </c>
      <c r="K43" s="7" t="s">
        <v>1539</v>
      </c>
      <c r="L43" s="7" t="s">
        <v>126</v>
      </c>
      <c r="M43" s="7" t="s">
        <v>13</v>
      </c>
      <c r="N43" s="7" t="s">
        <v>1540</v>
      </c>
      <c r="O43" s="7" t="s">
        <v>1546</v>
      </c>
    </row>
    <row r="44" spans="1:15" ht="30" customHeight="1" x14ac:dyDescent="0.25">
      <c r="A44" s="6" t="s">
        <v>1556</v>
      </c>
      <c r="B44" s="6" t="s">
        <v>1534</v>
      </c>
      <c r="C44" s="7" t="s">
        <v>1535</v>
      </c>
      <c r="D44" s="7" t="s">
        <v>1536</v>
      </c>
      <c r="E44" s="7" t="s">
        <v>1557</v>
      </c>
      <c r="F44" s="7" t="s">
        <v>1558</v>
      </c>
      <c r="G44" s="7" t="s">
        <v>1545</v>
      </c>
      <c r="H44" s="7" t="s">
        <v>1537</v>
      </c>
      <c r="I44" s="7" t="s">
        <v>1494</v>
      </c>
      <c r="J44" s="7" t="s">
        <v>1538</v>
      </c>
      <c r="K44" s="7" t="s">
        <v>1539</v>
      </c>
      <c r="L44" s="7" t="s">
        <v>126</v>
      </c>
      <c r="M44" s="7" t="s">
        <v>13</v>
      </c>
      <c r="N44" s="7" t="s">
        <v>1540</v>
      </c>
      <c r="O44" s="7" t="s">
        <v>1546</v>
      </c>
    </row>
    <row r="45" spans="1:15" ht="30" customHeight="1" x14ac:dyDescent="0.25">
      <c r="A45" s="6" t="s">
        <v>1559</v>
      </c>
      <c r="B45" s="6" t="s">
        <v>1534</v>
      </c>
      <c r="C45" s="7" t="s">
        <v>1535</v>
      </c>
      <c r="D45" s="7" t="s">
        <v>1536</v>
      </c>
      <c r="E45" s="7" t="s">
        <v>1560</v>
      </c>
      <c r="F45" s="7" t="s">
        <v>1561</v>
      </c>
      <c r="G45" s="7" t="s">
        <v>1545</v>
      </c>
      <c r="H45" s="7" t="s">
        <v>1537</v>
      </c>
      <c r="I45" s="7" t="s">
        <v>1494</v>
      </c>
      <c r="J45" s="7" t="s">
        <v>1538</v>
      </c>
      <c r="K45" s="7" t="s">
        <v>1539</v>
      </c>
      <c r="L45" s="7" t="s">
        <v>126</v>
      </c>
      <c r="M45" s="7" t="s">
        <v>13</v>
      </c>
      <c r="N45" s="7" t="s">
        <v>1540</v>
      </c>
      <c r="O45" s="7" t="s">
        <v>1546</v>
      </c>
    </row>
    <row r="46" spans="1:15" ht="30" customHeight="1" x14ac:dyDescent="0.25">
      <c r="A46" s="6" t="s">
        <v>1562</v>
      </c>
      <c r="B46" s="6" t="s">
        <v>1534</v>
      </c>
      <c r="C46" s="7" t="s">
        <v>1535</v>
      </c>
      <c r="D46" s="7" t="s">
        <v>1536</v>
      </c>
      <c r="E46" s="7" t="s">
        <v>1563</v>
      </c>
      <c r="F46" s="7" t="s">
        <v>1564</v>
      </c>
      <c r="G46" s="7" t="s">
        <v>1545</v>
      </c>
      <c r="H46" s="7" t="s">
        <v>1537</v>
      </c>
      <c r="I46" s="7" t="s">
        <v>1494</v>
      </c>
      <c r="J46" s="7" t="s">
        <v>1538</v>
      </c>
      <c r="K46" s="7" t="s">
        <v>1539</v>
      </c>
      <c r="L46" s="7" t="s">
        <v>126</v>
      </c>
      <c r="M46" s="7" t="s">
        <v>13</v>
      </c>
      <c r="N46" s="7" t="s">
        <v>1540</v>
      </c>
      <c r="O46" s="7" t="s">
        <v>1546</v>
      </c>
    </row>
    <row r="47" spans="1:15" ht="30" customHeight="1" x14ac:dyDescent="0.25">
      <c r="A47" s="6" t="s">
        <v>1565</v>
      </c>
      <c r="B47" s="6" t="s">
        <v>1534</v>
      </c>
      <c r="C47" s="7" t="s">
        <v>1535</v>
      </c>
      <c r="D47" s="7" t="s">
        <v>1536</v>
      </c>
      <c r="E47" s="7" t="s">
        <v>1566</v>
      </c>
      <c r="F47" s="7" t="s">
        <v>1567</v>
      </c>
      <c r="G47" s="7" t="s">
        <v>1545</v>
      </c>
      <c r="H47" s="7" t="s">
        <v>1537</v>
      </c>
      <c r="I47" s="7" t="s">
        <v>1494</v>
      </c>
      <c r="J47" s="7" t="s">
        <v>1538</v>
      </c>
      <c r="K47" s="7" t="s">
        <v>1539</v>
      </c>
      <c r="L47" s="7" t="s">
        <v>126</v>
      </c>
      <c r="M47" s="7" t="s">
        <v>13</v>
      </c>
      <c r="N47" s="7" t="s">
        <v>1540</v>
      </c>
      <c r="O47" s="7" t="s">
        <v>1546</v>
      </c>
    </row>
    <row r="48" spans="1:15" ht="30" customHeight="1" x14ac:dyDescent="0.25">
      <c r="A48" s="6" t="s">
        <v>1568</v>
      </c>
      <c r="B48" s="6" t="s">
        <v>1534</v>
      </c>
      <c r="C48" s="7" t="s">
        <v>1535</v>
      </c>
      <c r="D48" s="7" t="s">
        <v>1536</v>
      </c>
      <c r="E48" s="7" t="s">
        <v>1569</v>
      </c>
      <c r="F48" s="7" t="s">
        <v>1570</v>
      </c>
      <c r="G48" s="7" t="s">
        <v>1545</v>
      </c>
      <c r="H48" s="7" t="s">
        <v>1537</v>
      </c>
      <c r="I48" s="7" t="s">
        <v>1494</v>
      </c>
      <c r="J48" s="7" t="s">
        <v>1538</v>
      </c>
      <c r="K48" s="7" t="s">
        <v>1539</v>
      </c>
      <c r="L48" s="7" t="s">
        <v>126</v>
      </c>
      <c r="M48" s="7" t="s">
        <v>13</v>
      </c>
      <c r="N48" s="7" t="s">
        <v>1540</v>
      </c>
      <c r="O48" s="7" t="s">
        <v>1546</v>
      </c>
    </row>
    <row r="49" spans="1:15" ht="30" customHeight="1" x14ac:dyDescent="0.25">
      <c r="A49" s="6" t="s">
        <v>1571</v>
      </c>
      <c r="B49" s="6" t="s">
        <v>1572</v>
      </c>
      <c r="C49" s="7" t="s">
        <v>1573</v>
      </c>
      <c r="D49" s="7" t="s">
        <v>1574</v>
      </c>
      <c r="E49" s="7" t="s">
        <v>238</v>
      </c>
      <c r="F49" s="7" t="s">
        <v>239</v>
      </c>
      <c r="G49" s="7" t="s">
        <v>1492</v>
      </c>
      <c r="H49" s="7" t="s">
        <v>1575</v>
      </c>
      <c r="I49" s="7" t="s">
        <v>1576</v>
      </c>
      <c r="J49" s="7" t="s">
        <v>1577</v>
      </c>
      <c r="K49" s="7" t="s">
        <v>1578</v>
      </c>
      <c r="L49" s="7" t="s">
        <v>48</v>
      </c>
      <c r="M49" s="7" t="s">
        <v>13</v>
      </c>
      <c r="N49" s="7" t="s">
        <v>1579</v>
      </c>
      <c r="O49" s="7" t="s">
        <v>1580</v>
      </c>
    </row>
    <row r="50" spans="1:15" ht="30" customHeight="1" x14ac:dyDescent="0.25">
      <c r="A50" s="6" t="s">
        <v>1581</v>
      </c>
      <c r="B50" s="6" t="s">
        <v>1572</v>
      </c>
      <c r="C50" s="7" t="s">
        <v>1573</v>
      </c>
      <c r="D50" s="7" t="s">
        <v>1574</v>
      </c>
      <c r="E50" s="7" t="s">
        <v>375</v>
      </c>
      <c r="F50" s="7" t="s">
        <v>376</v>
      </c>
      <c r="G50" s="7" t="s">
        <v>1492</v>
      </c>
      <c r="H50" s="7" t="s">
        <v>1575</v>
      </c>
      <c r="I50" s="7" t="s">
        <v>1576</v>
      </c>
      <c r="J50" s="7" t="s">
        <v>1577</v>
      </c>
      <c r="K50" s="7" t="s">
        <v>1578</v>
      </c>
      <c r="L50" s="7" t="s">
        <v>48</v>
      </c>
      <c r="M50" s="7" t="s">
        <v>13</v>
      </c>
      <c r="N50" s="7" t="s">
        <v>1579</v>
      </c>
      <c r="O50" s="7" t="s">
        <v>1580</v>
      </c>
    </row>
    <row r="51" spans="1:15" ht="30" customHeight="1" x14ac:dyDescent="0.25">
      <c r="A51" s="6" t="s">
        <v>1582</v>
      </c>
      <c r="B51" s="6" t="s">
        <v>1572</v>
      </c>
      <c r="C51" s="7" t="s">
        <v>1573</v>
      </c>
      <c r="D51" s="7" t="s">
        <v>1574</v>
      </c>
      <c r="E51" s="7" t="s">
        <v>153</v>
      </c>
      <c r="F51" s="7" t="s">
        <v>154</v>
      </c>
      <c r="G51" s="7" t="s">
        <v>1492</v>
      </c>
      <c r="H51" s="7" t="s">
        <v>1575</v>
      </c>
      <c r="I51" s="7" t="s">
        <v>1576</v>
      </c>
      <c r="J51" s="7" t="s">
        <v>1577</v>
      </c>
      <c r="K51" s="7" t="s">
        <v>1578</v>
      </c>
      <c r="L51" s="7" t="s">
        <v>48</v>
      </c>
      <c r="M51" s="7" t="s">
        <v>13</v>
      </c>
      <c r="N51" s="7" t="s">
        <v>1583</v>
      </c>
      <c r="O51" s="7" t="s">
        <v>1580</v>
      </c>
    </row>
    <row r="52" spans="1:15" ht="30" customHeight="1" x14ac:dyDescent="0.25">
      <c r="A52" s="6" t="s">
        <v>1584</v>
      </c>
      <c r="B52" s="6" t="s">
        <v>1572</v>
      </c>
      <c r="C52" s="7" t="s">
        <v>1573</v>
      </c>
      <c r="D52" s="7" t="s">
        <v>1574</v>
      </c>
      <c r="E52" s="7" t="s">
        <v>371</v>
      </c>
      <c r="F52" s="7" t="s">
        <v>372</v>
      </c>
      <c r="G52" s="7" t="s">
        <v>1492</v>
      </c>
      <c r="H52" s="7" t="s">
        <v>1575</v>
      </c>
      <c r="I52" s="7" t="s">
        <v>1576</v>
      </c>
      <c r="J52" s="7" t="s">
        <v>1577</v>
      </c>
      <c r="K52" s="7" t="s">
        <v>1578</v>
      </c>
      <c r="L52" s="7" t="s">
        <v>48</v>
      </c>
      <c r="M52" s="7" t="s">
        <v>13</v>
      </c>
      <c r="N52" s="7" t="s">
        <v>1579</v>
      </c>
      <c r="O52" s="7" t="s">
        <v>1580</v>
      </c>
    </row>
    <row r="53" spans="1:15" ht="30" customHeight="1" x14ac:dyDescent="0.25">
      <c r="A53" s="6" t="s">
        <v>1585</v>
      </c>
      <c r="B53" s="6" t="s">
        <v>1572</v>
      </c>
      <c r="C53" s="7" t="s">
        <v>1573</v>
      </c>
      <c r="D53" s="7" t="s">
        <v>1574</v>
      </c>
      <c r="E53" s="7" t="s">
        <v>95</v>
      </c>
      <c r="F53" s="7" t="s">
        <v>96</v>
      </c>
      <c r="G53" s="7" t="s">
        <v>1492</v>
      </c>
      <c r="H53" s="7" t="s">
        <v>1575</v>
      </c>
      <c r="I53" s="7" t="s">
        <v>1586</v>
      </c>
      <c r="J53" s="7" t="s">
        <v>1577</v>
      </c>
      <c r="K53" s="7" t="s">
        <v>1578</v>
      </c>
      <c r="L53" s="7" t="s">
        <v>48</v>
      </c>
      <c r="M53" s="7" t="s">
        <v>13</v>
      </c>
      <c r="N53" s="7" t="s">
        <v>100</v>
      </c>
      <c r="O53" s="7" t="s">
        <v>1580</v>
      </c>
    </row>
    <row r="54" spans="1:15" ht="30" customHeight="1" x14ac:dyDescent="0.25">
      <c r="A54" s="6" t="s">
        <v>1587</v>
      </c>
      <c r="B54" s="6" t="s">
        <v>1588</v>
      </c>
      <c r="C54" s="7" t="s">
        <v>1589</v>
      </c>
      <c r="D54" s="7" t="s">
        <v>1590</v>
      </c>
      <c r="E54" s="7" t="s">
        <v>264</v>
      </c>
      <c r="F54" s="7" t="s">
        <v>265</v>
      </c>
      <c r="G54" s="7" t="s">
        <v>1492</v>
      </c>
      <c r="H54" s="7" t="s">
        <v>634</v>
      </c>
      <c r="I54" s="7" t="s">
        <v>1591</v>
      </c>
      <c r="J54" s="7" t="s">
        <v>1592</v>
      </c>
      <c r="K54" s="7" t="s">
        <v>1593</v>
      </c>
      <c r="L54" s="7" t="s">
        <v>48</v>
      </c>
      <c r="M54" s="7" t="s">
        <v>13</v>
      </c>
      <c r="N54" s="7" t="s">
        <v>268</v>
      </c>
      <c r="O54" s="7" t="s">
        <v>1594</v>
      </c>
    </row>
    <row r="55" spans="1:15" ht="30" customHeight="1" x14ac:dyDescent="0.25">
      <c r="A55" s="6" t="s">
        <v>1595</v>
      </c>
      <c r="B55" s="6" t="s">
        <v>1596</v>
      </c>
      <c r="C55" s="7" t="s">
        <v>1597</v>
      </c>
      <c r="D55" s="7" t="s">
        <v>1598</v>
      </c>
      <c r="E55" s="7" t="s">
        <v>340</v>
      </c>
      <c r="F55" s="7" t="s">
        <v>341</v>
      </c>
      <c r="G55" s="7" t="s">
        <v>1492</v>
      </c>
      <c r="H55" s="7" t="s">
        <v>634</v>
      </c>
      <c r="I55" s="7" t="s">
        <v>1591</v>
      </c>
      <c r="J55" s="7" t="s">
        <v>1599</v>
      </c>
      <c r="K55" s="7" t="s">
        <v>1600</v>
      </c>
      <c r="L55" s="7" t="s">
        <v>66</v>
      </c>
      <c r="M55" s="7" t="s">
        <v>13</v>
      </c>
      <c r="N55" s="7" t="s">
        <v>344</v>
      </c>
      <c r="O55" s="7" t="s">
        <v>1594</v>
      </c>
    </row>
    <row r="56" spans="1:15" ht="30" customHeight="1" x14ac:dyDescent="0.25">
      <c r="A56" s="6" t="s">
        <v>1601</v>
      </c>
      <c r="B56" s="6" t="s">
        <v>1602</v>
      </c>
      <c r="C56" s="7" t="s">
        <v>1603</v>
      </c>
      <c r="D56" s="7" t="s">
        <v>1590</v>
      </c>
      <c r="E56" s="7" t="s">
        <v>106</v>
      </c>
      <c r="F56" s="7" t="s">
        <v>107</v>
      </c>
      <c r="G56" s="7" t="s">
        <v>1492</v>
      </c>
      <c r="H56" s="7" t="s">
        <v>634</v>
      </c>
      <c r="I56" s="7" t="s">
        <v>1591</v>
      </c>
      <c r="J56" s="7" t="s">
        <v>1599</v>
      </c>
      <c r="K56" s="7" t="s">
        <v>1604</v>
      </c>
      <c r="L56" s="7" t="s">
        <v>48</v>
      </c>
      <c r="M56" s="7" t="s">
        <v>13</v>
      </c>
      <c r="N56" s="7" t="s">
        <v>1605</v>
      </c>
      <c r="O56" s="7" t="s">
        <v>1594</v>
      </c>
    </row>
    <row r="57" spans="1:15" ht="30" customHeight="1" x14ac:dyDescent="0.25">
      <c r="A57" s="6" t="s">
        <v>1606</v>
      </c>
      <c r="B57" s="6" t="s">
        <v>1607</v>
      </c>
      <c r="C57" s="7" t="s">
        <v>1608</v>
      </c>
      <c r="D57" s="7" t="s">
        <v>1505</v>
      </c>
      <c r="E57" s="7" t="s">
        <v>120</v>
      </c>
      <c r="F57" s="7" t="s">
        <v>121</v>
      </c>
      <c r="G57" s="7" t="s">
        <v>1492</v>
      </c>
      <c r="H57" s="7" t="s">
        <v>634</v>
      </c>
      <c r="I57" s="7" t="s">
        <v>1609</v>
      </c>
      <c r="J57" s="7" t="s">
        <v>1599</v>
      </c>
      <c r="K57" s="7" t="s">
        <v>1610</v>
      </c>
      <c r="L57" s="7" t="s">
        <v>126</v>
      </c>
      <c r="M57" s="7" t="s">
        <v>13</v>
      </c>
      <c r="N57" s="7" t="s">
        <v>1611</v>
      </c>
      <c r="O57" s="7" t="s">
        <v>1612</v>
      </c>
    </row>
    <row r="58" spans="1:15" ht="30" customHeight="1" x14ac:dyDescent="0.25">
      <c r="A58" s="6" t="s">
        <v>1613</v>
      </c>
      <c r="B58" s="6" t="s">
        <v>1614</v>
      </c>
      <c r="C58" s="7" t="s">
        <v>1615</v>
      </c>
      <c r="D58" s="7" t="s">
        <v>1616</v>
      </c>
      <c r="E58" s="7" t="s">
        <v>129</v>
      </c>
      <c r="F58" s="7" t="s">
        <v>130</v>
      </c>
      <c r="G58" s="7" t="s">
        <v>1492</v>
      </c>
      <c r="H58" s="7" t="s">
        <v>1617</v>
      </c>
      <c r="I58" s="7" t="s">
        <v>1618</v>
      </c>
      <c r="J58" s="7" t="s">
        <v>1619</v>
      </c>
      <c r="K58" s="7" t="s">
        <v>1620</v>
      </c>
      <c r="L58" s="7" t="s">
        <v>126</v>
      </c>
      <c r="M58" s="7" t="s">
        <v>13</v>
      </c>
      <c r="N58" s="7" t="s">
        <v>133</v>
      </c>
      <c r="O58" s="7" t="s">
        <v>1612</v>
      </c>
    </row>
    <row r="59" spans="1:15" ht="30" customHeight="1" x14ac:dyDescent="0.25">
      <c r="A59" s="6" t="s">
        <v>1621</v>
      </c>
      <c r="B59" s="6" t="s">
        <v>1572</v>
      </c>
      <c r="C59" s="7" t="s">
        <v>1573</v>
      </c>
      <c r="D59" s="7" t="s">
        <v>1574</v>
      </c>
      <c r="E59" s="7" t="s">
        <v>1621</v>
      </c>
      <c r="F59" s="7" t="s">
        <v>1622</v>
      </c>
      <c r="G59" s="7" t="s">
        <v>1623</v>
      </c>
      <c r="H59" s="7" t="s">
        <v>1575</v>
      </c>
      <c r="I59" s="7" t="s">
        <v>1624</v>
      </c>
      <c r="J59" s="7" t="s">
        <v>1577</v>
      </c>
      <c r="K59" s="7" t="s">
        <v>1578</v>
      </c>
      <c r="L59" s="7" t="s">
        <v>48</v>
      </c>
      <c r="M59" s="7" t="s">
        <v>13</v>
      </c>
      <c r="N59" s="7" t="s">
        <v>1579</v>
      </c>
      <c r="O59" s="7" t="s">
        <v>1580</v>
      </c>
    </row>
    <row r="60" spans="1:15" ht="30" customHeight="1" x14ac:dyDescent="0.25">
      <c r="A60" s="6" t="s">
        <v>1625</v>
      </c>
      <c r="B60" s="6" t="s">
        <v>1572</v>
      </c>
      <c r="C60" s="7" t="s">
        <v>1573</v>
      </c>
      <c r="D60" s="7" t="s">
        <v>1574</v>
      </c>
      <c r="E60" s="7" t="s">
        <v>1625</v>
      </c>
      <c r="F60" s="7" t="s">
        <v>1626</v>
      </c>
      <c r="G60" s="7" t="s">
        <v>1623</v>
      </c>
      <c r="H60" s="7" t="s">
        <v>1575</v>
      </c>
      <c r="I60" s="7" t="s">
        <v>1624</v>
      </c>
      <c r="J60" s="7" t="s">
        <v>1577</v>
      </c>
      <c r="K60" s="7" t="s">
        <v>1578</v>
      </c>
      <c r="L60" s="7" t="s">
        <v>48</v>
      </c>
      <c r="M60" s="7" t="s">
        <v>13</v>
      </c>
      <c r="N60" s="7" t="s">
        <v>1579</v>
      </c>
      <c r="O60" s="7" t="s">
        <v>1580</v>
      </c>
    </row>
    <row r="61" spans="1:15" ht="30" customHeight="1" x14ac:dyDescent="0.25">
      <c r="A61" s="6" t="s">
        <v>1627</v>
      </c>
      <c r="B61" s="6" t="s">
        <v>1572</v>
      </c>
      <c r="C61" s="7" t="s">
        <v>1573</v>
      </c>
      <c r="D61" s="7" t="s">
        <v>1574</v>
      </c>
      <c r="E61" s="7" t="s">
        <v>1627</v>
      </c>
      <c r="F61" s="7" t="s">
        <v>1628</v>
      </c>
      <c r="G61" s="7" t="s">
        <v>1623</v>
      </c>
      <c r="H61" s="7" t="s">
        <v>1575</v>
      </c>
      <c r="I61" s="7" t="s">
        <v>1624</v>
      </c>
      <c r="J61" s="7" t="s">
        <v>1577</v>
      </c>
      <c r="K61" s="7" t="s">
        <v>1578</v>
      </c>
      <c r="L61" s="7" t="s">
        <v>48</v>
      </c>
      <c r="M61" s="7" t="s">
        <v>13</v>
      </c>
      <c r="N61" s="7" t="s">
        <v>1579</v>
      </c>
      <c r="O61" s="7" t="s">
        <v>1580</v>
      </c>
    </row>
    <row r="62" spans="1:15" ht="30" customHeight="1" x14ac:dyDescent="0.25">
      <c r="A62" s="6" t="s">
        <v>1629</v>
      </c>
      <c r="B62" s="6" t="s">
        <v>1572</v>
      </c>
      <c r="C62" s="7" t="s">
        <v>1573</v>
      </c>
      <c r="D62" s="7" t="s">
        <v>1574</v>
      </c>
      <c r="E62" s="7" t="s">
        <v>1630</v>
      </c>
      <c r="F62" s="7" t="s">
        <v>1578</v>
      </c>
      <c r="G62" s="7" t="s">
        <v>1631</v>
      </c>
      <c r="H62" s="7" t="s">
        <v>1575</v>
      </c>
      <c r="I62" s="7" t="s">
        <v>1632</v>
      </c>
      <c r="J62" s="7" t="s">
        <v>1577</v>
      </c>
      <c r="K62" s="7" t="s">
        <v>1578</v>
      </c>
      <c r="L62" s="7" t="s">
        <v>48</v>
      </c>
      <c r="M62" s="7" t="s">
        <v>13</v>
      </c>
      <c r="N62" s="7" t="s">
        <v>1633</v>
      </c>
      <c r="O62" s="7" t="s">
        <v>1580</v>
      </c>
    </row>
    <row r="63" spans="1:15" ht="30" customHeight="1" x14ac:dyDescent="0.25">
      <c r="A63" s="6" t="s">
        <v>1634</v>
      </c>
      <c r="B63" s="6" t="s">
        <v>1572</v>
      </c>
      <c r="C63" s="7" t="s">
        <v>1573</v>
      </c>
      <c r="D63" s="7" t="s">
        <v>1574</v>
      </c>
      <c r="E63" s="7" t="s">
        <v>52</v>
      </c>
      <c r="F63" s="7" t="s">
        <v>53</v>
      </c>
      <c r="G63" s="7" t="s">
        <v>1492</v>
      </c>
      <c r="H63" s="7" t="s">
        <v>1575</v>
      </c>
      <c r="I63" s="7" t="s">
        <v>1635</v>
      </c>
      <c r="J63" s="7" t="s">
        <v>1577</v>
      </c>
      <c r="K63" s="7" t="s">
        <v>1578</v>
      </c>
      <c r="L63" s="7" t="s">
        <v>66</v>
      </c>
      <c r="M63" s="7" t="s">
        <v>13</v>
      </c>
      <c r="N63" s="7" t="s">
        <v>1579</v>
      </c>
      <c r="O63" s="7" t="s">
        <v>1636</v>
      </c>
    </row>
    <row r="64" spans="1:15" ht="30" customHeight="1" x14ac:dyDescent="0.25">
      <c r="A64" s="6" t="s">
        <v>1637</v>
      </c>
      <c r="B64" s="6" t="s">
        <v>1572</v>
      </c>
      <c r="C64" s="7" t="s">
        <v>1573</v>
      </c>
      <c r="D64" s="7" t="s">
        <v>1574</v>
      </c>
      <c r="E64" s="7" t="s">
        <v>148</v>
      </c>
      <c r="F64" s="7" t="s">
        <v>149</v>
      </c>
      <c r="G64" s="7" t="s">
        <v>1492</v>
      </c>
      <c r="H64" s="7" t="s">
        <v>1575</v>
      </c>
      <c r="I64" s="7" t="s">
        <v>1638</v>
      </c>
      <c r="J64" s="7" t="s">
        <v>1577</v>
      </c>
      <c r="K64" s="7" t="s">
        <v>1578</v>
      </c>
      <c r="L64" s="7" t="s">
        <v>66</v>
      </c>
      <c r="M64" s="7" t="s">
        <v>13</v>
      </c>
      <c r="N64" s="7" t="s">
        <v>1579</v>
      </c>
      <c r="O64" s="7" t="s">
        <v>1636</v>
      </c>
    </row>
    <row r="65" spans="1:15" ht="30" customHeight="1" x14ac:dyDescent="0.25">
      <c r="A65" s="6" t="s">
        <v>1639</v>
      </c>
      <c r="B65" s="6" t="s">
        <v>1640</v>
      </c>
      <c r="C65" s="7" t="s">
        <v>1641</v>
      </c>
      <c r="D65" s="7"/>
      <c r="E65" s="7" t="s">
        <v>148</v>
      </c>
      <c r="F65" s="7" t="s">
        <v>149</v>
      </c>
      <c r="G65" s="7" t="s">
        <v>1492</v>
      </c>
      <c r="H65" s="7" t="s">
        <v>1642</v>
      </c>
      <c r="I65" s="7" t="s">
        <v>1643</v>
      </c>
      <c r="J65" s="7" t="s">
        <v>1644</v>
      </c>
      <c r="K65" s="7" t="s">
        <v>1496</v>
      </c>
      <c r="L65" s="7" t="s">
        <v>48</v>
      </c>
      <c r="M65" s="7" t="s">
        <v>1645</v>
      </c>
      <c r="N65" s="7" t="s">
        <v>1646</v>
      </c>
      <c r="O65" s="7" t="s">
        <v>1647</v>
      </c>
    </row>
    <row r="66" spans="1:15" ht="30" customHeight="1" x14ac:dyDescent="0.25">
      <c r="A66" s="6" t="s">
        <v>1648</v>
      </c>
      <c r="B66" s="6" t="s">
        <v>1640</v>
      </c>
      <c r="C66" s="7" t="s">
        <v>1641</v>
      </c>
      <c r="D66" s="7"/>
      <c r="E66" s="7" t="s">
        <v>60</v>
      </c>
      <c r="F66" s="7" t="s">
        <v>61</v>
      </c>
      <c r="G66" s="7" t="s">
        <v>1492</v>
      </c>
      <c r="H66" s="7" t="s">
        <v>1642</v>
      </c>
      <c r="I66" s="7" t="s">
        <v>1649</v>
      </c>
      <c r="J66" s="7" t="s">
        <v>1495</v>
      </c>
      <c r="K66" s="7" t="s">
        <v>1650</v>
      </c>
      <c r="L66" s="7" t="s">
        <v>66</v>
      </c>
      <c r="M66" s="7" t="s">
        <v>1645</v>
      </c>
      <c r="N66" s="7" t="s">
        <v>68</v>
      </c>
      <c r="O66" s="7" t="s">
        <v>1647</v>
      </c>
    </row>
    <row r="67" spans="1:15" ht="30" customHeight="1" x14ac:dyDescent="0.25">
      <c r="A67" s="6" t="s">
        <v>1651</v>
      </c>
      <c r="B67" s="6" t="s">
        <v>1640</v>
      </c>
      <c r="C67" s="7" t="s">
        <v>1641</v>
      </c>
      <c r="D67" s="7"/>
      <c r="E67" s="7" t="s">
        <v>69</v>
      </c>
      <c r="F67" s="7" t="s">
        <v>70</v>
      </c>
      <c r="G67" s="7" t="s">
        <v>1492</v>
      </c>
      <c r="H67" s="7" t="s">
        <v>1642</v>
      </c>
      <c r="I67" s="7" t="s">
        <v>1652</v>
      </c>
      <c r="J67" s="7" t="s">
        <v>1495</v>
      </c>
      <c r="K67" s="7" t="s">
        <v>1496</v>
      </c>
      <c r="L67" s="7" t="s">
        <v>48</v>
      </c>
      <c r="M67" s="7" t="s">
        <v>1645</v>
      </c>
      <c r="N67" s="7" t="s">
        <v>74</v>
      </c>
      <c r="O67" s="7" t="s">
        <v>1647</v>
      </c>
    </row>
    <row r="68" spans="1:15" ht="30" customHeight="1" x14ac:dyDescent="0.25">
      <c r="A68" s="6" t="s">
        <v>1653</v>
      </c>
      <c r="B68" s="6" t="s">
        <v>1640</v>
      </c>
      <c r="C68" s="7" t="s">
        <v>1641</v>
      </c>
      <c r="D68" s="7"/>
      <c r="E68" s="7" t="s">
        <v>75</v>
      </c>
      <c r="F68" s="7" t="s">
        <v>76</v>
      </c>
      <c r="G68" s="7" t="s">
        <v>1492</v>
      </c>
      <c r="H68" s="7" t="s">
        <v>1642</v>
      </c>
      <c r="I68" s="7" t="s">
        <v>1654</v>
      </c>
      <c r="J68" s="7" t="s">
        <v>1495</v>
      </c>
      <c r="K68" s="7" t="s">
        <v>1496</v>
      </c>
      <c r="L68" s="7" t="s">
        <v>48</v>
      </c>
      <c r="M68" s="7" t="s">
        <v>1645</v>
      </c>
      <c r="N68" s="7" t="s">
        <v>68</v>
      </c>
      <c r="O68" s="7" t="s">
        <v>1647</v>
      </c>
    </row>
    <row r="69" spans="1:15" ht="30" customHeight="1" x14ac:dyDescent="0.25">
      <c r="A69" s="6" t="s">
        <v>1655</v>
      </c>
      <c r="B69" s="6" t="s">
        <v>1656</v>
      </c>
      <c r="C69" s="7" t="s">
        <v>1657</v>
      </c>
      <c r="D69" s="7" t="s">
        <v>1658</v>
      </c>
      <c r="E69" s="7" t="s">
        <v>487</v>
      </c>
      <c r="F69" s="7" t="s">
        <v>488</v>
      </c>
      <c r="G69" s="7" t="s">
        <v>1492</v>
      </c>
      <c r="H69" s="7" t="s">
        <v>1659</v>
      </c>
      <c r="I69" s="7" t="s">
        <v>1660</v>
      </c>
      <c r="J69" s="7" t="s">
        <v>1661</v>
      </c>
      <c r="K69" s="7" t="s">
        <v>1662</v>
      </c>
      <c r="L69" s="7" t="s">
        <v>48</v>
      </c>
      <c r="M69" s="7" t="s">
        <v>13</v>
      </c>
      <c r="N69" s="7" t="s">
        <v>1663</v>
      </c>
      <c r="O69" s="7" t="s">
        <v>1664</v>
      </c>
    </row>
    <row r="70" spans="1:15" ht="30" customHeight="1" x14ac:dyDescent="0.25">
      <c r="A70" s="6" t="s">
        <v>1665</v>
      </c>
      <c r="B70" s="6" t="s">
        <v>1666</v>
      </c>
      <c r="C70" s="7" t="s">
        <v>1667</v>
      </c>
      <c r="D70" s="7" t="s">
        <v>1668</v>
      </c>
      <c r="E70" s="7" t="s">
        <v>475</v>
      </c>
      <c r="F70" s="7" t="s">
        <v>476</v>
      </c>
      <c r="G70" s="7" t="s">
        <v>1492</v>
      </c>
      <c r="H70" s="7" t="s">
        <v>1659</v>
      </c>
      <c r="I70" s="7" t="s">
        <v>1660</v>
      </c>
      <c r="J70" s="7" t="s">
        <v>1661</v>
      </c>
      <c r="K70" s="7" t="s">
        <v>1669</v>
      </c>
      <c r="L70" s="7" t="s">
        <v>48</v>
      </c>
      <c r="M70" s="7" t="s">
        <v>13</v>
      </c>
      <c r="N70" s="7" t="s">
        <v>1670</v>
      </c>
      <c r="O70" s="7" t="s">
        <v>1671</v>
      </c>
    </row>
    <row r="71" spans="1:15" ht="30" customHeight="1" x14ac:dyDescent="0.25">
      <c r="A71" s="6" t="s">
        <v>1672</v>
      </c>
      <c r="B71" s="6" t="s">
        <v>1673</v>
      </c>
      <c r="C71" s="7" t="s">
        <v>1674</v>
      </c>
      <c r="D71" s="7" t="s">
        <v>1675</v>
      </c>
      <c r="E71" s="7" t="s">
        <v>479</v>
      </c>
      <c r="F71" s="7" t="s">
        <v>480</v>
      </c>
      <c r="G71" s="7" t="s">
        <v>1492</v>
      </c>
      <c r="H71" s="7" t="s">
        <v>1575</v>
      </c>
      <c r="I71" s="7" t="s">
        <v>1586</v>
      </c>
      <c r="J71" s="7" t="s">
        <v>1676</v>
      </c>
      <c r="K71" s="7" t="s">
        <v>1677</v>
      </c>
      <c r="L71" s="7" t="s">
        <v>66</v>
      </c>
      <c r="M71" s="7" t="s">
        <v>13</v>
      </c>
      <c r="N71" s="7" t="s">
        <v>1678</v>
      </c>
      <c r="O71" s="7" t="s">
        <v>1679</v>
      </c>
    </row>
  </sheetData>
  <mergeCells count="2">
    <mergeCell ref="A1:O1"/>
    <mergeCell ref="A2:O2"/>
  </mergeCells>
  <phoneticPr fontId="12" type="noConversion"/>
  <conditionalFormatting sqref="M5:M71">
    <cfRule type="expression" dxfId="23" priority="1">
      <formula>OR(M5="Reviewed",M5="Human-Checked",M5="Human-Revised",M5="Supported")</formula>
    </cfRule>
    <cfRule type="expression" dxfId="22" priority="2">
      <formula>OR(M5="Research",M5="AI-Seeded",M5="Candidate",M5="Lead")</formula>
    </cfRule>
    <cfRule type="expression" dxfId="21" priority="3">
      <formula>OR(M5="Needs Second Source",M5="Needs Local Retrieval",M5="Failed")</formula>
    </cfRule>
  </conditionalFormatting>
  <pageMargins left="0.25" right="0.25" top="0.4" bottom="0.4" header="0.5" footer="0.5"/>
  <pageSetup orientation="landscape"/>
  <headerFooter>
    <oddHeader>&amp;C&amp;BEvents</oddHeader>
    <oddFooter>&amp;LOkinawa NGO / Civic Organization Database&amp;CEnglish presentation edition&amp;RPage &amp;P of &amp;N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B626A"/>
    <pageSetUpPr fitToPage="1"/>
  </sheetPr>
  <dimension ref="A1:S47"/>
  <sheetViews>
    <sheetView showGridLines="0" zoomScale="85" workbookViewId="0">
      <pane ySplit="4" topLeftCell="A5" activePane="bottomLeft" state="frozen"/>
      <selection pane="bottomLeft"/>
    </sheetView>
  </sheetViews>
  <sheetFormatPr defaultRowHeight="14.4" x14ac:dyDescent="0.25"/>
  <cols>
    <col min="1" max="1" width="11" customWidth="1"/>
    <col min="2" max="2" width="15" customWidth="1"/>
    <col min="3" max="3" width="26" customWidth="1"/>
    <col min="4" max="4" width="41" customWidth="1"/>
    <col min="5" max="5" width="23" customWidth="1"/>
    <col min="6" max="6" width="24" customWidth="1"/>
    <col min="7" max="7" width="42" customWidth="1"/>
    <col min="8" max="8" width="36" customWidth="1"/>
    <col min="9" max="10" width="42" customWidth="1"/>
    <col min="11" max="12" width="11" customWidth="1"/>
    <col min="13" max="14" width="42" customWidth="1"/>
    <col min="15" max="15" width="16" customWidth="1"/>
    <col min="16" max="16" width="23" customWidth="1"/>
    <col min="17" max="17" width="21" customWidth="1"/>
    <col min="18" max="18" width="24" customWidth="1"/>
    <col min="19" max="19" width="42" customWidth="1"/>
  </cols>
  <sheetData>
    <row r="1" spans="1:19" ht="34.049999999999997" customHeight="1" x14ac:dyDescent="0.25">
      <c r="A1" s="21" t="s">
        <v>1680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ht="31.95" customHeight="1" x14ac:dyDescent="0.25">
      <c r="A2" s="20" t="s">
        <v>1681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4" spans="1:19" ht="34.049999999999997" customHeight="1" x14ac:dyDescent="0.25">
      <c r="A4" s="5" t="s">
        <v>1477</v>
      </c>
      <c r="B4" s="5" t="s">
        <v>778</v>
      </c>
      <c r="C4" s="5" t="s">
        <v>1682</v>
      </c>
      <c r="D4" s="5" t="s">
        <v>1683</v>
      </c>
      <c r="E4" s="5" t="s">
        <v>1684</v>
      </c>
      <c r="F4" s="5" t="s">
        <v>1685</v>
      </c>
      <c r="G4" s="5" t="s">
        <v>1686</v>
      </c>
      <c r="H4" s="5" t="s">
        <v>1687</v>
      </c>
      <c r="I4" s="5" t="s">
        <v>1688</v>
      </c>
      <c r="J4" s="5" t="s">
        <v>1689</v>
      </c>
      <c r="K4" s="5" t="s">
        <v>1690</v>
      </c>
      <c r="L4" s="5" t="s">
        <v>1691</v>
      </c>
      <c r="M4" s="5" t="s">
        <v>1692</v>
      </c>
      <c r="N4" s="5" t="s">
        <v>1693</v>
      </c>
      <c r="O4" s="5" t="s">
        <v>38</v>
      </c>
      <c r="P4" s="5" t="s">
        <v>39</v>
      </c>
      <c r="Q4" s="5" t="s">
        <v>1331</v>
      </c>
      <c r="R4" s="5" t="s">
        <v>41</v>
      </c>
      <c r="S4" s="5" t="s">
        <v>782</v>
      </c>
    </row>
    <row r="5" spans="1:19" ht="30" customHeight="1" x14ac:dyDescent="0.25">
      <c r="A5" s="6" t="s">
        <v>1694</v>
      </c>
      <c r="B5" s="6" t="s">
        <v>14</v>
      </c>
      <c r="C5" s="7" t="s">
        <v>1695</v>
      </c>
      <c r="D5" s="7" t="s">
        <v>1696</v>
      </c>
      <c r="E5" s="7" t="s">
        <v>1697</v>
      </c>
      <c r="F5" s="7" t="s">
        <v>515</v>
      </c>
      <c r="G5" s="7" t="s">
        <v>516</v>
      </c>
      <c r="H5" s="7" t="s">
        <v>509</v>
      </c>
      <c r="I5" s="7" t="s">
        <v>510</v>
      </c>
      <c r="J5" s="7" t="s">
        <v>1698</v>
      </c>
      <c r="K5" s="8"/>
      <c r="L5" s="7"/>
      <c r="M5" s="7"/>
      <c r="N5" s="7"/>
      <c r="O5" s="7" t="s">
        <v>48</v>
      </c>
      <c r="P5" s="7" t="s">
        <v>49</v>
      </c>
      <c r="Q5" s="7" t="s">
        <v>1385</v>
      </c>
      <c r="R5" s="7"/>
      <c r="S5" s="7" t="s">
        <v>1699</v>
      </c>
    </row>
    <row r="6" spans="1:19" ht="30" customHeight="1" x14ac:dyDescent="0.25">
      <c r="A6" s="6" t="s">
        <v>1700</v>
      </c>
      <c r="B6" s="6" t="s">
        <v>13</v>
      </c>
      <c r="C6" s="7" t="s">
        <v>1695</v>
      </c>
      <c r="D6" s="7" t="s">
        <v>1701</v>
      </c>
      <c r="E6" s="7" t="s">
        <v>1697</v>
      </c>
      <c r="F6" s="7" t="s">
        <v>521</v>
      </c>
      <c r="G6" s="7" t="s">
        <v>522</v>
      </c>
      <c r="H6" s="7" t="s">
        <v>509</v>
      </c>
      <c r="I6" s="7" t="s">
        <v>510</v>
      </c>
      <c r="J6" s="7" t="s">
        <v>1702</v>
      </c>
      <c r="K6" s="8"/>
      <c r="L6" s="7"/>
      <c r="M6" s="7"/>
      <c r="N6" s="7"/>
      <c r="O6" s="7" t="s">
        <v>48</v>
      </c>
      <c r="P6" s="7" t="s">
        <v>109</v>
      </c>
      <c r="Q6" s="7" t="s">
        <v>1339</v>
      </c>
      <c r="R6" s="7" t="s">
        <v>1703</v>
      </c>
      <c r="S6" s="7" t="s">
        <v>1699</v>
      </c>
    </row>
    <row r="7" spans="1:19" ht="30" customHeight="1" x14ac:dyDescent="0.25">
      <c r="A7" s="6" t="s">
        <v>1704</v>
      </c>
      <c r="B7" s="6" t="s">
        <v>14</v>
      </c>
      <c r="C7" s="7" t="s">
        <v>1705</v>
      </c>
      <c r="D7" s="7" t="s">
        <v>1706</v>
      </c>
      <c r="E7" s="7" t="s">
        <v>1707</v>
      </c>
      <c r="F7" s="7" t="s">
        <v>509</v>
      </c>
      <c r="G7" s="7" t="s">
        <v>510</v>
      </c>
      <c r="H7" s="7" t="s">
        <v>718</v>
      </c>
      <c r="I7" s="7" t="s">
        <v>719</v>
      </c>
      <c r="J7" s="7" t="s">
        <v>1708</v>
      </c>
      <c r="K7" s="8"/>
      <c r="L7" s="7"/>
      <c r="M7" s="7"/>
      <c r="N7" s="7"/>
      <c r="O7" s="7" t="s">
        <v>66</v>
      </c>
      <c r="P7" s="7" t="s">
        <v>49</v>
      </c>
      <c r="Q7" s="7" t="s">
        <v>1385</v>
      </c>
      <c r="R7" s="7"/>
      <c r="S7" s="7" t="s">
        <v>1709</v>
      </c>
    </row>
    <row r="8" spans="1:19" ht="30" customHeight="1" x14ac:dyDescent="0.25">
      <c r="A8" s="6" t="s">
        <v>1710</v>
      </c>
      <c r="B8" s="6" t="s">
        <v>14</v>
      </c>
      <c r="C8" s="7" t="s">
        <v>1705</v>
      </c>
      <c r="D8" s="7" t="s">
        <v>1706</v>
      </c>
      <c r="E8" s="7" t="s">
        <v>1707</v>
      </c>
      <c r="F8" s="7" t="s">
        <v>509</v>
      </c>
      <c r="G8" s="7" t="s">
        <v>510</v>
      </c>
      <c r="H8" s="7" t="s">
        <v>722</v>
      </c>
      <c r="I8" s="7" t="s">
        <v>553</v>
      </c>
      <c r="J8" s="7" t="s">
        <v>1711</v>
      </c>
      <c r="K8" s="8"/>
      <c r="L8" s="7"/>
      <c r="M8" s="7"/>
      <c r="N8" s="7"/>
      <c r="O8" s="7" t="s">
        <v>66</v>
      </c>
      <c r="P8" s="7" t="s">
        <v>49</v>
      </c>
      <c r="Q8" s="7" t="s">
        <v>1385</v>
      </c>
      <c r="R8" s="7"/>
      <c r="S8" s="7" t="s">
        <v>1709</v>
      </c>
    </row>
    <row r="9" spans="1:19" ht="30" customHeight="1" x14ac:dyDescent="0.25">
      <c r="A9" s="6" t="s">
        <v>1712</v>
      </c>
      <c r="B9" s="6" t="s">
        <v>14</v>
      </c>
      <c r="C9" s="7" t="s">
        <v>1705</v>
      </c>
      <c r="D9" s="7" t="s">
        <v>1706</v>
      </c>
      <c r="E9" s="7" t="s">
        <v>1707</v>
      </c>
      <c r="F9" s="7" t="s">
        <v>509</v>
      </c>
      <c r="G9" s="7" t="s">
        <v>510</v>
      </c>
      <c r="H9" s="7" t="s">
        <v>713</v>
      </c>
      <c r="I9" s="7" t="s">
        <v>714</v>
      </c>
      <c r="J9" s="7" t="s">
        <v>1713</v>
      </c>
      <c r="K9" s="8"/>
      <c r="L9" s="7"/>
      <c r="M9" s="7"/>
      <c r="N9" s="7"/>
      <c r="O9" s="7" t="s">
        <v>66</v>
      </c>
      <c r="P9" s="7" t="s">
        <v>49</v>
      </c>
      <c r="Q9" s="7" t="s">
        <v>1385</v>
      </c>
      <c r="R9" s="7"/>
      <c r="S9" s="7" t="s">
        <v>1709</v>
      </c>
    </row>
    <row r="10" spans="1:19" ht="30" customHeight="1" x14ac:dyDescent="0.25">
      <c r="A10" s="6" t="s">
        <v>1714</v>
      </c>
      <c r="B10" s="6" t="s">
        <v>13</v>
      </c>
      <c r="C10" s="7" t="s">
        <v>1715</v>
      </c>
      <c r="D10" s="7" t="s">
        <v>1716</v>
      </c>
      <c r="E10" s="7" t="s">
        <v>1697</v>
      </c>
      <c r="F10" s="7" t="s">
        <v>524</v>
      </c>
      <c r="G10" s="7" t="s">
        <v>525</v>
      </c>
      <c r="H10" s="7" t="s">
        <v>530</v>
      </c>
      <c r="I10" s="7" t="s">
        <v>531</v>
      </c>
      <c r="J10" s="7" t="s">
        <v>1717</v>
      </c>
      <c r="K10" s="8"/>
      <c r="L10" s="7"/>
      <c r="M10" s="7" t="s">
        <v>1718</v>
      </c>
      <c r="N10" s="7" t="s">
        <v>1719</v>
      </c>
      <c r="O10" s="7" t="s">
        <v>48</v>
      </c>
      <c r="P10" s="7" t="s">
        <v>109</v>
      </c>
      <c r="Q10" s="7" t="s">
        <v>1720</v>
      </c>
      <c r="R10" s="7" t="s">
        <v>1721</v>
      </c>
      <c r="S10" s="7" t="s">
        <v>1722</v>
      </c>
    </row>
    <row r="11" spans="1:19" ht="30" customHeight="1" x14ac:dyDescent="0.25">
      <c r="A11" s="6" t="s">
        <v>1723</v>
      </c>
      <c r="B11" s="6" t="s">
        <v>13</v>
      </c>
      <c r="C11" s="7" t="s">
        <v>1715</v>
      </c>
      <c r="D11" s="7" t="s">
        <v>1716</v>
      </c>
      <c r="E11" s="7" t="s">
        <v>1697</v>
      </c>
      <c r="F11" s="7" t="s">
        <v>524</v>
      </c>
      <c r="G11" s="7" t="s">
        <v>525</v>
      </c>
      <c r="H11" s="7" t="s">
        <v>536</v>
      </c>
      <c r="I11" s="7" t="s">
        <v>537</v>
      </c>
      <c r="J11" s="7" t="s">
        <v>1724</v>
      </c>
      <c r="K11" s="8"/>
      <c r="L11" s="7"/>
      <c r="M11" s="7" t="s">
        <v>1718</v>
      </c>
      <c r="N11" s="7" t="s">
        <v>1719</v>
      </c>
      <c r="O11" s="7" t="s">
        <v>48</v>
      </c>
      <c r="P11" s="7" t="s">
        <v>109</v>
      </c>
      <c r="Q11" s="7" t="s">
        <v>1720</v>
      </c>
      <c r="R11" s="7" t="s">
        <v>1725</v>
      </c>
      <c r="S11" s="7" t="s">
        <v>1726</v>
      </c>
    </row>
    <row r="12" spans="1:19" ht="30" customHeight="1" x14ac:dyDescent="0.25">
      <c r="A12" s="6" t="s">
        <v>1727</v>
      </c>
      <c r="B12" s="6" t="s">
        <v>14</v>
      </c>
      <c r="C12" s="7" t="s">
        <v>1705</v>
      </c>
      <c r="D12" s="7" t="s">
        <v>1728</v>
      </c>
      <c r="E12" s="7" t="s">
        <v>1707</v>
      </c>
      <c r="F12" s="7" t="s">
        <v>546</v>
      </c>
      <c r="G12" s="7" t="s">
        <v>547</v>
      </c>
      <c r="H12" s="7" t="s">
        <v>722</v>
      </c>
      <c r="I12" s="7" t="s">
        <v>553</v>
      </c>
      <c r="J12" s="7" t="s">
        <v>1729</v>
      </c>
      <c r="K12" s="8"/>
      <c r="L12" s="7"/>
      <c r="M12" s="7"/>
      <c r="N12" s="7"/>
      <c r="O12" s="7" t="s">
        <v>48</v>
      </c>
      <c r="P12" s="7" t="s">
        <v>49</v>
      </c>
      <c r="Q12" s="7" t="s">
        <v>1385</v>
      </c>
      <c r="R12" s="7"/>
      <c r="S12" s="7" t="s">
        <v>1709</v>
      </c>
    </row>
    <row r="13" spans="1:19" ht="30" customHeight="1" x14ac:dyDescent="0.25">
      <c r="A13" s="6" t="s">
        <v>1730</v>
      </c>
      <c r="B13" s="6" t="s">
        <v>14</v>
      </c>
      <c r="C13" s="7" t="s">
        <v>1705</v>
      </c>
      <c r="D13" s="7" t="s">
        <v>1728</v>
      </c>
      <c r="E13" s="7" t="s">
        <v>1707</v>
      </c>
      <c r="F13" s="7" t="s">
        <v>551</v>
      </c>
      <c r="G13" s="7" t="s">
        <v>552</v>
      </c>
      <c r="H13" s="7" t="s">
        <v>722</v>
      </c>
      <c r="I13" s="7" t="s">
        <v>553</v>
      </c>
      <c r="J13" s="7" t="s">
        <v>1731</v>
      </c>
      <c r="K13" s="8"/>
      <c r="L13" s="7"/>
      <c r="M13" s="7"/>
      <c r="N13" s="7"/>
      <c r="O13" s="7" t="s">
        <v>48</v>
      </c>
      <c r="P13" s="7" t="s">
        <v>49</v>
      </c>
      <c r="Q13" s="7" t="s">
        <v>1385</v>
      </c>
      <c r="R13" s="7"/>
      <c r="S13" s="7" t="s">
        <v>1709</v>
      </c>
    </row>
    <row r="14" spans="1:19" ht="30" customHeight="1" x14ac:dyDescent="0.25">
      <c r="A14" s="6" t="s">
        <v>1732</v>
      </c>
      <c r="B14" s="6" t="s">
        <v>13</v>
      </c>
      <c r="C14" s="7" t="s">
        <v>1733</v>
      </c>
      <c r="D14" s="7" t="s">
        <v>1734</v>
      </c>
      <c r="E14" s="7" t="s">
        <v>1735</v>
      </c>
      <c r="F14" s="7" t="s">
        <v>554</v>
      </c>
      <c r="G14" s="7" t="s">
        <v>555</v>
      </c>
      <c r="H14" s="7" t="s">
        <v>557</v>
      </c>
      <c r="I14" s="7" t="s">
        <v>558</v>
      </c>
      <c r="J14" s="7" t="s">
        <v>1736</v>
      </c>
      <c r="K14" s="8"/>
      <c r="L14" s="7"/>
      <c r="M14" s="7"/>
      <c r="N14" s="7"/>
      <c r="O14" s="7" t="s">
        <v>48</v>
      </c>
      <c r="P14" s="7" t="s">
        <v>109</v>
      </c>
      <c r="Q14" s="7" t="s">
        <v>1720</v>
      </c>
      <c r="R14" s="7" t="s">
        <v>1737</v>
      </c>
      <c r="S14" s="7" t="s">
        <v>1738</v>
      </c>
    </row>
    <row r="15" spans="1:19" ht="30" customHeight="1" x14ac:dyDescent="0.25">
      <c r="A15" s="6" t="s">
        <v>1739</v>
      </c>
      <c r="B15" s="6" t="s">
        <v>14</v>
      </c>
      <c r="C15" s="7" t="s">
        <v>1740</v>
      </c>
      <c r="D15" s="7" t="s">
        <v>1741</v>
      </c>
      <c r="E15" s="7" t="s">
        <v>1742</v>
      </c>
      <c r="F15" s="7" t="s">
        <v>567</v>
      </c>
      <c r="G15" s="7" t="s">
        <v>568</v>
      </c>
      <c r="H15" s="7" t="s">
        <v>1743</v>
      </c>
      <c r="I15" s="7" t="s">
        <v>1744</v>
      </c>
      <c r="J15" s="7" t="s">
        <v>1745</v>
      </c>
      <c r="K15" s="8"/>
      <c r="L15" s="7"/>
      <c r="M15" s="7"/>
      <c r="N15" s="7"/>
      <c r="O15" s="7" t="s">
        <v>48</v>
      </c>
      <c r="P15" s="7" t="s">
        <v>127</v>
      </c>
      <c r="Q15" s="7" t="s">
        <v>1740</v>
      </c>
      <c r="R15" s="7" t="s">
        <v>571</v>
      </c>
      <c r="S15" s="7" t="s">
        <v>1746</v>
      </c>
    </row>
    <row r="16" spans="1:19" ht="30" customHeight="1" x14ac:dyDescent="0.25">
      <c r="A16" s="6" t="s">
        <v>1747</v>
      </c>
      <c r="B16" s="6" t="s">
        <v>14</v>
      </c>
      <c r="C16" s="7" t="s">
        <v>1740</v>
      </c>
      <c r="D16" s="7" t="s">
        <v>1748</v>
      </c>
      <c r="E16" s="7" t="s">
        <v>1742</v>
      </c>
      <c r="F16" s="7" t="s">
        <v>246</v>
      </c>
      <c r="G16" s="7" t="s">
        <v>247</v>
      </c>
      <c r="H16" s="7" t="s">
        <v>148</v>
      </c>
      <c r="I16" s="7" t="s">
        <v>149</v>
      </c>
      <c r="J16" s="7" t="s">
        <v>1749</v>
      </c>
      <c r="K16" s="8"/>
      <c r="L16" s="7"/>
      <c r="M16" s="7"/>
      <c r="N16" s="7"/>
      <c r="O16" s="7" t="s">
        <v>126</v>
      </c>
      <c r="P16" s="7" t="s">
        <v>67</v>
      </c>
      <c r="Q16" s="7" t="s">
        <v>1740</v>
      </c>
      <c r="R16" s="7" t="s">
        <v>251</v>
      </c>
      <c r="S16" s="7" t="s">
        <v>1746</v>
      </c>
    </row>
    <row r="17" spans="1:19" ht="30" customHeight="1" x14ac:dyDescent="0.25">
      <c r="A17" s="6" t="s">
        <v>1750</v>
      </c>
      <c r="B17" s="6" t="s">
        <v>14</v>
      </c>
      <c r="C17" s="7" t="s">
        <v>1733</v>
      </c>
      <c r="D17" s="7" t="s">
        <v>1751</v>
      </c>
      <c r="E17" s="7" t="s">
        <v>1697</v>
      </c>
      <c r="F17" s="7" t="s">
        <v>246</v>
      </c>
      <c r="G17" s="7" t="s">
        <v>247</v>
      </c>
      <c r="H17" s="7" t="s">
        <v>252</v>
      </c>
      <c r="I17" s="7" t="s">
        <v>253</v>
      </c>
      <c r="J17" s="7" t="s">
        <v>1752</v>
      </c>
      <c r="K17" s="8"/>
      <c r="L17" s="7"/>
      <c r="M17" s="7"/>
      <c r="N17" s="7"/>
      <c r="O17" s="7" t="s">
        <v>66</v>
      </c>
      <c r="P17" s="7" t="s">
        <v>49</v>
      </c>
      <c r="Q17" s="7" t="s">
        <v>1385</v>
      </c>
      <c r="R17" s="7" t="s">
        <v>251</v>
      </c>
      <c r="S17" s="7" t="s">
        <v>1738</v>
      </c>
    </row>
    <row r="18" spans="1:19" ht="30" customHeight="1" x14ac:dyDescent="0.25">
      <c r="A18" s="6" t="s">
        <v>1753</v>
      </c>
      <c r="B18" s="6" t="s">
        <v>14</v>
      </c>
      <c r="C18" s="7" t="s">
        <v>1733</v>
      </c>
      <c r="D18" s="7" t="s">
        <v>1751</v>
      </c>
      <c r="E18" s="7" t="s">
        <v>1697</v>
      </c>
      <c r="F18" s="7" t="s">
        <v>300</v>
      </c>
      <c r="G18" s="7" t="s">
        <v>301</v>
      </c>
      <c r="H18" s="7" t="s">
        <v>246</v>
      </c>
      <c r="I18" s="7" t="s">
        <v>247</v>
      </c>
      <c r="J18" s="7" t="s">
        <v>1754</v>
      </c>
      <c r="K18" s="8"/>
      <c r="L18" s="7"/>
      <c r="M18" s="7"/>
      <c r="N18" s="7"/>
      <c r="O18" s="7" t="s">
        <v>66</v>
      </c>
      <c r="P18" s="7" t="s">
        <v>49</v>
      </c>
      <c r="Q18" s="7" t="s">
        <v>1385</v>
      </c>
      <c r="R18" s="7" t="s">
        <v>1755</v>
      </c>
      <c r="S18" s="7" t="s">
        <v>1738</v>
      </c>
    </row>
    <row r="19" spans="1:19" ht="30" customHeight="1" x14ac:dyDescent="0.25">
      <c r="A19" s="6" t="s">
        <v>1756</v>
      </c>
      <c r="B19" s="6" t="s">
        <v>14</v>
      </c>
      <c r="C19" s="7" t="s">
        <v>1733</v>
      </c>
      <c r="D19" s="7" t="s">
        <v>1757</v>
      </c>
      <c r="E19" s="7" t="s">
        <v>1697</v>
      </c>
      <c r="F19" s="7" t="s">
        <v>331</v>
      </c>
      <c r="G19" s="7" t="s">
        <v>332</v>
      </c>
      <c r="H19" s="7" t="s">
        <v>259</v>
      </c>
      <c r="I19" s="7" t="s">
        <v>260</v>
      </c>
      <c r="J19" s="7" t="s">
        <v>1758</v>
      </c>
      <c r="K19" s="8"/>
      <c r="L19" s="7"/>
      <c r="M19" s="7"/>
      <c r="N19" s="7"/>
      <c r="O19" s="7" t="s">
        <v>66</v>
      </c>
      <c r="P19" s="7" t="s">
        <v>49</v>
      </c>
      <c r="Q19" s="7" t="s">
        <v>1385</v>
      </c>
      <c r="R19" s="7" t="s">
        <v>334</v>
      </c>
      <c r="S19" s="7" t="s">
        <v>1738</v>
      </c>
    </row>
    <row r="20" spans="1:19" ht="30" customHeight="1" x14ac:dyDescent="0.25">
      <c r="A20" s="6" t="s">
        <v>1759</v>
      </c>
      <c r="B20" s="6" t="s">
        <v>14</v>
      </c>
      <c r="C20" s="7" t="s">
        <v>1715</v>
      </c>
      <c r="D20" s="7" t="s">
        <v>1760</v>
      </c>
      <c r="E20" s="7" t="s">
        <v>1697</v>
      </c>
      <c r="F20" s="7" t="s">
        <v>317</v>
      </c>
      <c r="G20" s="7" t="s">
        <v>318</v>
      </c>
      <c r="H20" s="7" t="s">
        <v>252</v>
      </c>
      <c r="I20" s="7" t="s">
        <v>253</v>
      </c>
      <c r="J20" s="7" t="s">
        <v>1761</v>
      </c>
      <c r="K20" s="8"/>
      <c r="L20" s="7"/>
      <c r="M20" s="7"/>
      <c r="N20" s="7"/>
      <c r="O20" s="7" t="s">
        <v>66</v>
      </c>
      <c r="P20" s="7" t="s">
        <v>49</v>
      </c>
      <c r="Q20" s="7" t="s">
        <v>1385</v>
      </c>
      <c r="R20" s="7" t="s">
        <v>321</v>
      </c>
      <c r="S20" s="7" t="s">
        <v>1762</v>
      </c>
    </row>
    <row r="21" spans="1:19" ht="30" customHeight="1" x14ac:dyDescent="0.25">
      <c r="A21" s="6" t="s">
        <v>1763</v>
      </c>
      <c r="B21" s="6" t="s">
        <v>14</v>
      </c>
      <c r="C21" s="7" t="s">
        <v>1733</v>
      </c>
      <c r="D21" s="7" t="s">
        <v>1751</v>
      </c>
      <c r="E21" s="7" t="s">
        <v>1697</v>
      </c>
      <c r="F21" s="7" t="s">
        <v>335</v>
      </c>
      <c r="G21" s="7" t="s">
        <v>336</v>
      </c>
      <c r="H21" s="7" t="s">
        <v>173</v>
      </c>
      <c r="I21" s="7" t="s">
        <v>174</v>
      </c>
      <c r="J21" s="7" t="s">
        <v>1764</v>
      </c>
      <c r="K21" s="8"/>
      <c r="L21" s="7"/>
      <c r="M21" s="7"/>
      <c r="N21" s="7"/>
      <c r="O21" s="7" t="s">
        <v>66</v>
      </c>
      <c r="P21" s="7" t="s">
        <v>49</v>
      </c>
      <c r="Q21" s="7" t="s">
        <v>1385</v>
      </c>
      <c r="R21" s="7" t="s">
        <v>339</v>
      </c>
      <c r="S21" s="7" t="s">
        <v>1738</v>
      </c>
    </row>
    <row r="22" spans="1:19" ht="30" customHeight="1" x14ac:dyDescent="0.25">
      <c r="A22" s="6" t="s">
        <v>1765</v>
      </c>
      <c r="B22" s="6" t="s">
        <v>14</v>
      </c>
      <c r="C22" s="7" t="s">
        <v>1733</v>
      </c>
      <c r="D22" s="7" t="s">
        <v>1766</v>
      </c>
      <c r="E22" s="7" t="s">
        <v>1697</v>
      </c>
      <c r="F22" s="7" t="s">
        <v>554</v>
      </c>
      <c r="G22" s="7" t="s">
        <v>555</v>
      </c>
      <c r="H22" s="7" t="s">
        <v>361</v>
      </c>
      <c r="I22" s="7" t="s">
        <v>362</v>
      </c>
      <c r="J22" s="7" t="s">
        <v>1767</v>
      </c>
      <c r="K22" s="8"/>
      <c r="L22" s="7"/>
      <c r="M22" s="7"/>
      <c r="N22" s="7"/>
      <c r="O22" s="7" t="s">
        <v>126</v>
      </c>
      <c r="P22" s="7" t="s">
        <v>67</v>
      </c>
      <c r="Q22" s="7" t="s">
        <v>1385</v>
      </c>
      <c r="R22" s="7" t="s">
        <v>367</v>
      </c>
      <c r="S22" s="7" t="s">
        <v>1738</v>
      </c>
    </row>
    <row r="23" spans="1:19" ht="30" customHeight="1" x14ac:dyDescent="0.25">
      <c r="A23" s="6" t="s">
        <v>1768</v>
      </c>
      <c r="B23" s="6" t="s">
        <v>14</v>
      </c>
      <c r="C23" s="7" t="s">
        <v>1769</v>
      </c>
      <c r="D23" s="7" t="s">
        <v>1770</v>
      </c>
      <c r="E23" s="7" t="s">
        <v>1697</v>
      </c>
      <c r="F23" s="7" t="s">
        <v>264</v>
      </c>
      <c r="G23" s="7" t="s">
        <v>265</v>
      </c>
      <c r="H23" s="7" t="s">
        <v>259</v>
      </c>
      <c r="I23" s="7" t="s">
        <v>260</v>
      </c>
      <c r="J23" s="7" t="s">
        <v>1771</v>
      </c>
      <c r="K23" s="8"/>
      <c r="L23" s="7"/>
      <c r="M23" s="7"/>
      <c r="N23" s="7"/>
      <c r="O23" s="7" t="s">
        <v>66</v>
      </c>
      <c r="P23" s="7" t="s">
        <v>49</v>
      </c>
      <c r="Q23" s="7" t="s">
        <v>1385</v>
      </c>
      <c r="R23" s="7" t="s">
        <v>1772</v>
      </c>
      <c r="S23" s="7" t="s">
        <v>1773</v>
      </c>
    </row>
    <row r="24" spans="1:19" ht="30" customHeight="1" x14ac:dyDescent="0.25">
      <c r="A24" s="6" t="s">
        <v>1774</v>
      </c>
      <c r="B24" s="6" t="s">
        <v>13</v>
      </c>
      <c r="C24" s="7" t="s">
        <v>1695</v>
      </c>
      <c r="D24" s="7" t="s">
        <v>1696</v>
      </c>
      <c r="E24" s="7" t="s">
        <v>1697</v>
      </c>
      <c r="F24" s="7" t="s">
        <v>542</v>
      </c>
      <c r="G24" s="7" t="s">
        <v>543</v>
      </c>
      <c r="H24" s="7" t="s">
        <v>509</v>
      </c>
      <c r="I24" s="7" t="s">
        <v>510</v>
      </c>
      <c r="J24" s="7" t="s">
        <v>1775</v>
      </c>
      <c r="K24" s="8" t="s">
        <v>1776</v>
      </c>
      <c r="L24" s="7" t="s">
        <v>1777</v>
      </c>
      <c r="M24" s="7" t="s">
        <v>1778</v>
      </c>
      <c r="N24" s="7" t="s">
        <v>1779</v>
      </c>
      <c r="O24" s="7" t="s">
        <v>48</v>
      </c>
      <c r="P24" s="7" t="s">
        <v>58</v>
      </c>
      <c r="Q24" s="7" t="s">
        <v>1720</v>
      </c>
      <c r="R24" s="7" t="s">
        <v>1780</v>
      </c>
      <c r="S24" s="7" t="s">
        <v>1781</v>
      </c>
    </row>
    <row r="25" spans="1:19" ht="30" customHeight="1" x14ac:dyDescent="0.25">
      <c r="A25" s="6" t="s">
        <v>1782</v>
      </c>
      <c r="B25" s="6" t="s">
        <v>13</v>
      </c>
      <c r="C25" s="7" t="s">
        <v>1715</v>
      </c>
      <c r="D25" s="7" t="s">
        <v>1716</v>
      </c>
      <c r="E25" s="7" t="s">
        <v>1697</v>
      </c>
      <c r="F25" s="7" t="s">
        <v>524</v>
      </c>
      <c r="G25" s="7" t="s">
        <v>525</v>
      </c>
      <c r="H25" s="7" t="s">
        <v>542</v>
      </c>
      <c r="I25" s="7" t="s">
        <v>543</v>
      </c>
      <c r="J25" s="7" t="s">
        <v>1783</v>
      </c>
      <c r="K25" s="8"/>
      <c r="L25" s="7"/>
      <c r="M25" s="7" t="s">
        <v>1718</v>
      </c>
      <c r="N25" s="7"/>
      <c r="O25" s="7" t="s">
        <v>48</v>
      </c>
      <c r="P25" s="7" t="s">
        <v>109</v>
      </c>
      <c r="Q25" s="7" t="s">
        <v>1720</v>
      </c>
      <c r="R25" s="7" t="s">
        <v>1784</v>
      </c>
      <c r="S25" s="7" t="s">
        <v>1785</v>
      </c>
    </row>
    <row r="26" spans="1:19" ht="30" customHeight="1" x14ac:dyDescent="0.25">
      <c r="A26" s="6" t="s">
        <v>1786</v>
      </c>
      <c r="B26" s="6" t="s">
        <v>13</v>
      </c>
      <c r="C26" s="7" t="s">
        <v>1715</v>
      </c>
      <c r="D26" s="7" t="s">
        <v>1716</v>
      </c>
      <c r="E26" s="7" t="s">
        <v>1697</v>
      </c>
      <c r="F26" s="7" t="s">
        <v>524</v>
      </c>
      <c r="G26" s="7" t="s">
        <v>525</v>
      </c>
      <c r="H26" s="7" t="s">
        <v>585</v>
      </c>
      <c r="I26" s="7" t="s">
        <v>586</v>
      </c>
      <c r="J26" s="7" t="s">
        <v>1787</v>
      </c>
      <c r="K26" s="8"/>
      <c r="L26" s="7"/>
      <c r="M26" s="7" t="s">
        <v>1718</v>
      </c>
      <c r="N26" s="7"/>
      <c r="O26" s="7" t="s">
        <v>48</v>
      </c>
      <c r="P26" s="7" t="s">
        <v>109</v>
      </c>
      <c r="Q26" s="7" t="s">
        <v>1720</v>
      </c>
      <c r="R26" s="7" t="s">
        <v>1788</v>
      </c>
      <c r="S26" s="7" t="s">
        <v>1789</v>
      </c>
    </row>
    <row r="27" spans="1:19" ht="30" customHeight="1" x14ac:dyDescent="0.25">
      <c r="A27" s="6" t="s">
        <v>1790</v>
      </c>
      <c r="B27" s="6" t="s">
        <v>13</v>
      </c>
      <c r="C27" s="7" t="s">
        <v>1715</v>
      </c>
      <c r="D27" s="7" t="s">
        <v>1716</v>
      </c>
      <c r="E27" s="7" t="s">
        <v>1697</v>
      </c>
      <c r="F27" s="7" t="s">
        <v>524</v>
      </c>
      <c r="G27" s="7" t="s">
        <v>525</v>
      </c>
      <c r="H27" s="7" t="s">
        <v>589</v>
      </c>
      <c r="I27" s="7" t="s">
        <v>590</v>
      </c>
      <c r="J27" s="7" t="s">
        <v>1791</v>
      </c>
      <c r="K27" s="8"/>
      <c r="L27" s="7"/>
      <c r="M27" s="7" t="s">
        <v>1792</v>
      </c>
      <c r="N27" s="7"/>
      <c r="O27" s="7" t="s">
        <v>66</v>
      </c>
      <c r="P27" s="7" t="s">
        <v>58</v>
      </c>
      <c r="Q27" s="7" t="s">
        <v>1339</v>
      </c>
      <c r="R27" s="7" t="s">
        <v>592</v>
      </c>
      <c r="S27" s="7" t="s">
        <v>1793</v>
      </c>
    </row>
    <row r="28" spans="1:19" ht="30" customHeight="1" x14ac:dyDescent="0.25">
      <c r="A28" s="6" t="s">
        <v>1794</v>
      </c>
      <c r="B28" s="6" t="s">
        <v>13</v>
      </c>
      <c r="C28" s="7" t="s">
        <v>1695</v>
      </c>
      <c r="D28" s="7" t="s">
        <v>1696</v>
      </c>
      <c r="E28" s="7" t="s">
        <v>1697</v>
      </c>
      <c r="F28" s="7" t="s">
        <v>536</v>
      </c>
      <c r="G28" s="7" t="s">
        <v>537</v>
      </c>
      <c r="H28" s="7" t="s">
        <v>524</v>
      </c>
      <c r="I28" s="7" t="s">
        <v>525</v>
      </c>
      <c r="J28" s="7" t="s">
        <v>1795</v>
      </c>
      <c r="K28" s="8"/>
      <c r="L28" s="7" t="s">
        <v>1777</v>
      </c>
      <c r="M28" s="7" t="s">
        <v>1796</v>
      </c>
      <c r="N28" s="7"/>
      <c r="O28" s="7" t="s">
        <v>48</v>
      </c>
      <c r="P28" s="7" t="s">
        <v>58</v>
      </c>
      <c r="Q28" s="7" t="s">
        <v>1339</v>
      </c>
      <c r="R28" s="7" t="s">
        <v>1797</v>
      </c>
      <c r="S28" s="7" t="s">
        <v>1798</v>
      </c>
    </row>
    <row r="29" spans="1:19" ht="30" customHeight="1" x14ac:dyDescent="0.25">
      <c r="A29" s="6" t="s">
        <v>1799</v>
      </c>
      <c r="B29" s="6" t="s">
        <v>13</v>
      </c>
      <c r="C29" s="7" t="s">
        <v>1695</v>
      </c>
      <c r="D29" s="7" t="s">
        <v>1800</v>
      </c>
      <c r="E29" s="7" t="s">
        <v>1697</v>
      </c>
      <c r="F29" s="7" t="s">
        <v>524</v>
      </c>
      <c r="G29" s="7" t="s">
        <v>525</v>
      </c>
      <c r="H29" s="7" t="s">
        <v>509</v>
      </c>
      <c r="I29" s="7" t="s">
        <v>510</v>
      </c>
      <c r="J29" s="7" t="s">
        <v>1801</v>
      </c>
      <c r="K29" s="8"/>
      <c r="L29" s="7"/>
      <c r="M29" s="7"/>
      <c r="N29" s="7"/>
      <c r="O29" s="7" t="s">
        <v>66</v>
      </c>
      <c r="P29" s="7" t="s">
        <v>109</v>
      </c>
      <c r="Q29" s="7" t="s">
        <v>1339</v>
      </c>
      <c r="R29" s="7" t="s">
        <v>1802</v>
      </c>
      <c r="S29" s="7" t="s">
        <v>1699</v>
      </c>
    </row>
    <row r="30" spans="1:19" ht="30" customHeight="1" x14ac:dyDescent="0.25">
      <c r="A30" s="6" t="s">
        <v>1803</v>
      </c>
      <c r="B30" s="6" t="s">
        <v>13</v>
      </c>
      <c r="C30" s="7" t="s">
        <v>1695</v>
      </c>
      <c r="D30" s="7" t="s">
        <v>1804</v>
      </c>
      <c r="E30" s="7" t="s">
        <v>1805</v>
      </c>
      <c r="F30" s="7" t="s">
        <v>524</v>
      </c>
      <c r="G30" s="7" t="s">
        <v>525</v>
      </c>
      <c r="H30" s="7" t="s">
        <v>1806</v>
      </c>
      <c r="I30" s="7" t="s">
        <v>1807</v>
      </c>
      <c r="J30" s="7" t="s">
        <v>1808</v>
      </c>
      <c r="K30" s="8" t="s">
        <v>1809</v>
      </c>
      <c r="L30" s="7" t="s">
        <v>1810</v>
      </c>
      <c r="M30" s="7" t="s">
        <v>1811</v>
      </c>
      <c r="N30" s="7"/>
      <c r="O30" s="7" t="s">
        <v>66</v>
      </c>
      <c r="P30" s="7" t="s">
        <v>127</v>
      </c>
      <c r="Q30" s="7" t="s">
        <v>1339</v>
      </c>
      <c r="R30" s="7" t="s">
        <v>1812</v>
      </c>
      <c r="S30" s="7" t="s">
        <v>1813</v>
      </c>
    </row>
    <row r="31" spans="1:19" ht="30" customHeight="1" x14ac:dyDescent="0.25">
      <c r="A31" s="6" t="s">
        <v>1814</v>
      </c>
      <c r="B31" s="6" t="s">
        <v>13</v>
      </c>
      <c r="C31" s="7" t="s">
        <v>1695</v>
      </c>
      <c r="D31" s="7" t="s">
        <v>1815</v>
      </c>
      <c r="E31" s="7" t="s">
        <v>1707</v>
      </c>
      <c r="F31" s="7" t="s">
        <v>524</v>
      </c>
      <c r="G31" s="7" t="s">
        <v>525</v>
      </c>
      <c r="H31" s="7" t="s">
        <v>1816</v>
      </c>
      <c r="I31" s="7" t="s">
        <v>1817</v>
      </c>
      <c r="J31" s="7" t="s">
        <v>1818</v>
      </c>
      <c r="K31" s="8" t="s">
        <v>1819</v>
      </c>
      <c r="L31" s="7" t="s">
        <v>1810</v>
      </c>
      <c r="M31" s="7" t="s">
        <v>1820</v>
      </c>
      <c r="N31" s="7" t="s">
        <v>1821</v>
      </c>
      <c r="O31" s="7" t="s">
        <v>66</v>
      </c>
      <c r="P31" s="7" t="s">
        <v>58</v>
      </c>
      <c r="Q31" s="7" t="s">
        <v>1339</v>
      </c>
      <c r="R31" s="7" t="s">
        <v>1822</v>
      </c>
      <c r="S31" s="7" t="s">
        <v>1823</v>
      </c>
    </row>
    <row r="32" spans="1:19" ht="30" customHeight="1" x14ac:dyDescent="0.25">
      <c r="A32" s="6" t="s">
        <v>1824</v>
      </c>
      <c r="B32" s="6" t="s">
        <v>13</v>
      </c>
      <c r="C32" s="7" t="s">
        <v>1695</v>
      </c>
      <c r="D32" s="7" t="s">
        <v>1815</v>
      </c>
      <c r="E32" s="7" t="s">
        <v>1707</v>
      </c>
      <c r="F32" s="7" t="s">
        <v>524</v>
      </c>
      <c r="G32" s="7" t="s">
        <v>525</v>
      </c>
      <c r="H32" s="7" t="s">
        <v>1825</v>
      </c>
      <c r="I32" s="7" t="s">
        <v>1826</v>
      </c>
      <c r="J32" s="7" t="s">
        <v>1818</v>
      </c>
      <c r="K32" s="8"/>
      <c r="L32" s="7"/>
      <c r="M32" s="7" t="s">
        <v>1815</v>
      </c>
      <c r="N32" s="7"/>
      <c r="O32" s="7" t="s">
        <v>66</v>
      </c>
      <c r="P32" s="7" t="s">
        <v>58</v>
      </c>
      <c r="Q32" s="7" t="s">
        <v>1339</v>
      </c>
      <c r="R32" s="7" t="s">
        <v>1827</v>
      </c>
      <c r="S32" s="7" t="s">
        <v>1823</v>
      </c>
    </row>
    <row r="33" spans="1:19" ht="30" customHeight="1" x14ac:dyDescent="0.25">
      <c r="A33" s="6" t="s">
        <v>1828</v>
      </c>
      <c r="B33" s="6" t="s">
        <v>13</v>
      </c>
      <c r="C33" s="7" t="s">
        <v>1695</v>
      </c>
      <c r="D33" s="7" t="s">
        <v>1829</v>
      </c>
      <c r="E33" s="7" t="s">
        <v>1707</v>
      </c>
      <c r="F33" s="7" t="s">
        <v>524</v>
      </c>
      <c r="G33" s="7" t="s">
        <v>525</v>
      </c>
      <c r="H33" s="7" t="s">
        <v>1830</v>
      </c>
      <c r="I33" s="7" t="s">
        <v>1831</v>
      </c>
      <c r="J33" s="7" t="s">
        <v>1832</v>
      </c>
      <c r="K33" s="8"/>
      <c r="L33" s="7"/>
      <c r="M33" s="7" t="s">
        <v>1833</v>
      </c>
      <c r="N33" s="7"/>
      <c r="O33" s="7" t="s">
        <v>66</v>
      </c>
      <c r="P33" s="7" t="s">
        <v>58</v>
      </c>
      <c r="Q33" s="7" t="s">
        <v>1339</v>
      </c>
      <c r="R33" s="7" t="s">
        <v>1827</v>
      </c>
      <c r="S33" s="7" t="s">
        <v>1823</v>
      </c>
    </row>
    <row r="34" spans="1:19" ht="30" customHeight="1" x14ac:dyDescent="0.25">
      <c r="A34" s="6" t="s">
        <v>1834</v>
      </c>
      <c r="B34" s="6" t="s">
        <v>13</v>
      </c>
      <c r="C34" s="7" t="s">
        <v>1705</v>
      </c>
      <c r="D34" s="7" t="s">
        <v>1835</v>
      </c>
      <c r="E34" s="7" t="s">
        <v>1707</v>
      </c>
      <c r="F34" s="7" t="s">
        <v>554</v>
      </c>
      <c r="G34" s="7" t="s">
        <v>555</v>
      </c>
      <c r="H34" s="7" t="s">
        <v>1836</v>
      </c>
      <c r="I34" s="7" t="s">
        <v>1837</v>
      </c>
      <c r="J34" s="7" t="s">
        <v>1838</v>
      </c>
      <c r="K34" s="8"/>
      <c r="L34" s="7"/>
      <c r="M34" s="7" t="s">
        <v>1839</v>
      </c>
      <c r="N34" s="7"/>
      <c r="O34" s="7" t="s">
        <v>48</v>
      </c>
      <c r="P34" s="7" t="s">
        <v>109</v>
      </c>
      <c r="Q34" s="7" t="s">
        <v>1339</v>
      </c>
      <c r="R34" s="7" t="s">
        <v>1840</v>
      </c>
      <c r="S34" s="7" t="s">
        <v>1823</v>
      </c>
    </row>
    <row r="35" spans="1:19" ht="30" customHeight="1" x14ac:dyDescent="0.25">
      <c r="A35" s="6" t="s">
        <v>1841</v>
      </c>
      <c r="B35" s="6" t="s">
        <v>13</v>
      </c>
      <c r="C35" s="7" t="s">
        <v>1705</v>
      </c>
      <c r="D35" s="7" t="s">
        <v>1835</v>
      </c>
      <c r="E35" s="7" t="s">
        <v>1707</v>
      </c>
      <c r="F35" s="7" t="s">
        <v>554</v>
      </c>
      <c r="G35" s="7" t="s">
        <v>555</v>
      </c>
      <c r="H35" s="7" t="s">
        <v>1842</v>
      </c>
      <c r="I35" s="7" t="s">
        <v>1843</v>
      </c>
      <c r="J35" s="7" t="s">
        <v>1844</v>
      </c>
      <c r="K35" s="8"/>
      <c r="L35" s="7"/>
      <c r="M35" s="7" t="s">
        <v>1845</v>
      </c>
      <c r="N35" s="7"/>
      <c r="O35" s="7" t="s">
        <v>48</v>
      </c>
      <c r="P35" s="7" t="s">
        <v>109</v>
      </c>
      <c r="Q35" s="7" t="s">
        <v>1339</v>
      </c>
      <c r="R35" s="7" t="s">
        <v>1846</v>
      </c>
      <c r="S35" s="7" t="s">
        <v>1823</v>
      </c>
    </row>
    <row r="36" spans="1:19" ht="30" customHeight="1" x14ac:dyDescent="0.25">
      <c r="A36" s="6" t="s">
        <v>1847</v>
      </c>
      <c r="B36" s="6" t="s">
        <v>13</v>
      </c>
      <c r="C36" s="7" t="s">
        <v>1705</v>
      </c>
      <c r="D36" s="7" t="s">
        <v>1835</v>
      </c>
      <c r="E36" s="7" t="s">
        <v>1707</v>
      </c>
      <c r="F36" s="7" t="s">
        <v>554</v>
      </c>
      <c r="G36" s="7" t="s">
        <v>555</v>
      </c>
      <c r="H36" s="7" t="s">
        <v>1848</v>
      </c>
      <c r="I36" s="7" t="s">
        <v>766</v>
      </c>
      <c r="J36" s="7" t="s">
        <v>1849</v>
      </c>
      <c r="K36" s="8"/>
      <c r="L36" s="7"/>
      <c r="M36" s="7" t="s">
        <v>1850</v>
      </c>
      <c r="N36" s="7"/>
      <c r="O36" s="7" t="s">
        <v>48</v>
      </c>
      <c r="P36" s="7" t="s">
        <v>109</v>
      </c>
      <c r="Q36" s="7" t="s">
        <v>1339</v>
      </c>
      <c r="R36" s="7" t="s">
        <v>1846</v>
      </c>
      <c r="S36" s="7" t="s">
        <v>1823</v>
      </c>
    </row>
    <row r="37" spans="1:19" ht="30" customHeight="1" x14ac:dyDescent="0.25">
      <c r="A37" s="6" t="s">
        <v>1851</v>
      </c>
      <c r="B37" s="6" t="s">
        <v>14</v>
      </c>
      <c r="C37" s="7" t="s">
        <v>1695</v>
      </c>
      <c r="D37" s="7" t="s">
        <v>1701</v>
      </c>
      <c r="E37" s="7" t="s">
        <v>1742</v>
      </c>
      <c r="F37" s="7" t="s">
        <v>1852</v>
      </c>
      <c r="G37" s="7" t="s">
        <v>1853</v>
      </c>
      <c r="H37" s="7" t="s">
        <v>509</v>
      </c>
      <c r="I37" s="7" t="s">
        <v>510</v>
      </c>
      <c r="J37" s="7" t="s">
        <v>1854</v>
      </c>
      <c r="K37" s="8"/>
      <c r="L37" s="7"/>
      <c r="M37" s="7" t="s">
        <v>1855</v>
      </c>
      <c r="N37" s="7"/>
      <c r="O37" s="7" t="s">
        <v>66</v>
      </c>
      <c r="P37" s="7" t="s">
        <v>109</v>
      </c>
      <c r="Q37" s="7" t="s">
        <v>1339</v>
      </c>
      <c r="R37" s="7" t="s">
        <v>1856</v>
      </c>
      <c r="S37" s="7" t="s">
        <v>1857</v>
      </c>
    </row>
    <row r="38" spans="1:19" ht="30" customHeight="1" x14ac:dyDescent="0.25">
      <c r="A38" s="6" t="s">
        <v>1858</v>
      </c>
      <c r="B38" s="6" t="s">
        <v>14</v>
      </c>
      <c r="C38" s="7" t="s">
        <v>1695</v>
      </c>
      <c r="D38" s="7" t="s">
        <v>1701</v>
      </c>
      <c r="E38" s="7" t="s">
        <v>1742</v>
      </c>
      <c r="F38" s="7" t="s">
        <v>1859</v>
      </c>
      <c r="G38" s="7" t="s">
        <v>1859</v>
      </c>
      <c r="H38" s="7" t="s">
        <v>1860</v>
      </c>
      <c r="I38" s="7" t="s">
        <v>1861</v>
      </c>
      <c r="J38" s="7" t="s">
        <v>1862</v>
      </c>
      <c r="K38" s="8"/>
      <c r="L38" s="7"/>
      <c r="M38" s="7" t="s">
        <v>1863</v>
      </c>
      <c r="N38" s="7"/>
      <c r="O38" s="7" t="s">
        <v>66</v>
      </c>
      <c r="P38" s="7" t="s">
        <v>58</v>
      </c>
      <c r="Q38" s="7" t="s">
        <v>1339</v>
      </c>
      <c r="R38" s="7" t="s">
        <v>1856</v>
      </c>
      <c r="S38" s="7" t="s">
        <v>1857</v>
      </c>
    </row>
    <row r="39" spans="1:19" ht="30" customHeight="1" x14ac:dyDescent="0.25">
      <c r="A39" s="6" t="s">
        <v>1864</v>
      </c>
      <c r="B39" s="6" t="s">
        <v>13</v>
      </c>
      <c r="C39" s="7" t="s">
        <v>1695</v>
      </c>
      <c r="D39" s="7" t="s">
        <v>1865</v>
      </c>
      <c r="E39" s="7" t="s">
        <v>1735</v>
      </c>
      <c r="F39" s="7" t="s">
        <v>530</v>
      </c>
      <c r="G39" s="7" t="s">
        <v>531</v>
      </c>
      <c r="H39" s="7" t="s">
        <v>1866</v>
      </c>
      <c r="I39" s="7" t="s">
        <v>1867</v>
      </c>
      <c r="J39" s="7" t="s">
        <v>1868</v>
      </c>
      <c r="K39" s="8"/>
      <c r="L39" s="7"/>
      <c r="M39" s="7" t="s">
        <v>1869</v>
      </c>
      <c r="N39" s="7" t="s">
        <v>1870</v>
      </c>
      <c r="O39" s="7" t="s">
        <v>66</v>
      </c>
      <c r="P39" s="7" t="s">
        <v>58</v>
      </c>
      <c r="Q39" s="7" t="s">
        <v>1339</v>
      </c>
      <c r="R39" s="7" t="s">
        <v>1871</v>
      </c>
      <c r="S39" s="7" t="s">
        <v>1872</v>
      </c>
    </row>
    <row r="40" spans="1:19" ht="30" customHeight="1" x14ac:dyDescent="0.25">
      <c r="A40" s="6" t="s">
        <v>1873</v>
      </c>
      <c r="B40" s="6" t="s">
        <v>13</v>
      </c>
      <c r="C40" s="7" t="s">
        <v>1715</v>
      </c>
      <c r="D40" s="7" t="s">
        <v>1716</v>
      </c>
      <c r="E40" s="7" t="s">
        <v>1697</v>
      </c>
      <c r="F40" s="7" t="s">
        <v>450</v>
      </c>
      <c r="G40" s="7" t="s">
        <v>451</v>
      </c>
      <c r="H40" s="7" t="s">
        <v>269</v>
      </c>
      <c r="I40" s="7" t="s">
        <v>270</v>
      </c>
      <c r="J40" s="7" t="s">
        <v>1874</v>
      </c>
      <c r="K40" s="8"/>
      <c r="L40" s="7"/>
      <c r="M40" s="7"/>
      <c r="N40" s="7"/>
      <c r="O40" s="7" t="s">
        <v>48</v>
      </c>
      <c r="P40" s="7" t="s">
        <v>109</v>
      </c>
      <c r="Q40" s="7" t="s">
        <v>1720</v>
      </c>
      <c r="R40" s="7" t="s">
        <v>454</v>
      </c>
      <c r="S40" s="7" t="s">
        <v>1762</v>
      </c>
    </row>
    <row r="41" spans="1:19" ht="30" customHeight="1" x14ac:dyDescent="0.25">
      <c r="A41" s="6" t="s">
        <v>1875</v>
      </c>
      <c r="B41" s="6" t="s">
        <v>13</v>
      </c>
      <c r="C41" s="7" t="s">
        <v>1715</v>
      </c>
      <c r="D41" s="7" t="s">
        <v>1716</v>
      </c>
      <c r="E41" s="7" t="s">
        <v>1697</v>
      </c>
      <c r="F41" s="7" t="s">
        <v>450</v>
      </c>
      <c r="G41" s="7" t="s">
        <v>451</v>
      </c>
      <c r="H41" s="7" t="s">
        <v>275</v>
      </c>
      <c r="I41" s="7" t="s">
        <v>276</v>
      </c>
      <c r="J41" s="7" t="s">
        <v>1874</v>
      </c>
      <c r="K41" s="8"/>
      <c r="L41" s="7"/>
      <c r="M41" s="7"/>
      <c r="N41" s="7"/>
      <c r="O41" s="7" t="s">
        <v>48</v>
      </c>
      <c r="P41" s="7" t="s">
        <v>109</v>
      </c>
      <c r="Q41" s="7" t="s">
        <v>1720</v>
      </c>
      <c r="R41" s="7" t="s">
        <v>454</v>
      </c>
      <c r="S41" s="7" t="s">
        <v>1762</v>
      </c>
    </row>
    <row r="42" spans="1:19" ht="30" customHeight="1" x14ac:dyDescent="0.25">
      <c r="A42" s="6" t="s">
        <v>1876</v>
      </c>
      <c r="B42" s="6" t="s">
        <v>13</v>
      </c>
      <c r="C42" s="7" t="s">
        <v>1769</v>
      </c>
      <c r="D42" s="7" t="s">
        <v>1877</v>
      </c>
      <c r="E42" s="7" t="s">
        <v>1697</v>
      </c>
      <c r="F42" s="7" t="s">
        <v>455</v>
      </c>
      <c r="G42" s="7" t="s">
        <v>456</v>
      </c>
      <c r="H42" s="7" t="s">
        <v>275</v>
      </c>
      <c r="I42" s="7" t="s">
        <v>276</v>
      </c>
      <c r="J42" s="7" t="s">
        <v>1878</v>
      </c>
      <c r="K42" s="8"/>
      <c r="L42" s="7"/>
      <c r="M42" s="7"/>
      <c r="N42" s="7"/>
      <c r="O42" s="7" t="s">
        <v>48</v>
      </c>
      <c r="P42" s="7" t="s">
        <v>109</v>
      </c>
      <c r="Q42" s="7" t="s">
        <v>1720</v>
      </c>
      <c r="R42" s="7" t="s">
        <v>459</v>
      </c>
      <c r="S42" s="7" t="s">
        <v>1773</v>
      </c>
    </row>
    <row r="43" spans="1:19" ht="30" customHeight="1" x14ac:dyDescent="0.25">
      <c r="A43" s="6" t="s">
        <v>1879</v>
      </c>
      <c r="B43" s="6" t="s">
        <v>13</v>
      </c>
      <c r="C43" s="7" t="s">
        <v>1733</v>
      </c>
      <c r="D43" s="7" t="s">
        <v>1880</v>
      </c>
      <c r="E43" s="7" t="s">
        <v>1735</v>
      </c>
      <c r="F43" s="7" t="s">
        <v>465</v>
      </c>
      <c r="G43" s="7" t="s">
        <v>466</v>
      </c>
      <c r="H43" s="7" t="s">
        <v>173</v>
      </c>
      <c r="I43" s="7" t="s">
        <v>174</v>
      </c>
      <c r="J43" s="7" t="s">
        <v>1881</v>
      </c>
      <c r="K43" s="8"/>
      <c r="L43" s="7"/>
      <c r="M43" s="7"/>
      <c r="N43" s="7"/>
      <c r="O43" s="7" t="s">
        <v>48</v>
      </c>
      <c r="P43" s="7" t="s">
        <v>109</v>
      </c>
      <c r="Q43" s="7" t="s">
        <v>1720</v>
      </c>
      <c r="R43" s="7" t="s">
        <v>1882</v>
      </c>
      <c r="S43" s="7" t="s">
        <v>1738</v>
      </c>
    </row>
    <row r="44" spans="1:19" ht="30" customHeight="1" x14ac:dyDescent="0.25">
      <c r="A44" s="6" t="s">
        <v>1883</v>
      </c>
      <c r="B44" s="6" t="s">
        <v>13</v>
      </c>
      <c r="C44" s="7" t="s">
        <v>1733</v>
      </c>
      <c r="D44" s="7" t="s">
        <v>1884</v>
      </c>
      <c r="E44" s="7" t="s">
        <v>1735</v>
      </c>
      <c r="F44" s="7" t="s">
        <v>465</v>
      </c>
      <c r="G44" s="7" t="s">
        <v>466</v>
      </c>
      <c r="H44" s="7" t="s">
        <v>313</v>
      </c>
      <c r="I44" s="7" t="s">
        <v>314</v>
      </c>
      <c r="J44" s="7" t="s">
        <v>1885</v>
      </c>
      <c r="K44" s="8"/>
      <c r="L44" s="7"/>
      <c r="M44" s="7"/>
      <c r="N44" s="7"/>
      <c r="O44" s="7" t="s">
        <v>48</v>
      </c>
      <c r="P44" s="7" t="s">
        <v>109</v>
      </c>
      <c r="Q44" s="7" t="s">
        <v>1720</v>
      </c>
      <c r="R44" s="7" t="s">
        <v>1886</v>
      </c>
      <c r="S44" s="7" t="s">
        <v>1738</v>
      </c>
    </row>
    <row r="45" spans="1:19" ht="30" customHeight="1" x14ac:dyDescent="0.25">
      <c r="A45" s="6" t="s">
        <v>1887</v>
      </c>
      <c r="B45" s="6" t="s">
        <v>13</v>
      </c>
      <c r="C45" s="7" t="s">
        <v>1769</v>
      </c>
      <c r="D45" s="7" t="s">
        <v>1877</v>
      </c>
      <c r="E45" s="7" t="s">
        <v>1697</v>
      </c>
      <c r="F45" s="7" t="s">
        <v>479</v>
      </c>
      <c r="G45" s="7" t="s">
        <v>480</v>
      </c>
      <c r="H45" s="7" t="s">
        <v>269</v>
      </c>
      <c r="I45" s="7" t="s">
        <v>270</v>
      </c>
      <c r="J45" s="7" t="s">
        <v>1888</v>
      </c>
      <c r="K45" s="8"/>
      <c r="L45" s="7"/>
      <c r="M45" s="7"/>
      <c r="N45" s="7"/>
      <c r="O45" s="7" t="s">
        <v>48</v>
      </c>
      <c r="P45" s="7" t="s">
        <v>109</v>
      </c>
      <c r="Q45" s="7" t="s">
        <v>1720</v>
      </c>
      <c r="R45" s="7" t="s">
        <v>1889</v>
      </c>
      <c r="S45" s="7" t="s">
        <v>1773</v>
      </c>
    </row>
    <row r="46" spans="1:19" ht="30" customHeight="1" x14ac:dyDescent="0.25">
      <c r="A46" s="6" t="s">
        <v>1890</v>
      </c>
      <c r="B46" s="6" t="s">
        <v>13</v>
      </c>
      <c r="C46" s="7" t="s">
        <v>1715</v>
      </c>
      <c r="D46" s="7" t="s">
        <v>1760</v>
      </c>
      <c r="E46" s="7" t="s">
        <v>1697</v>
      </c>
      <c r="F46" s="7" t="s">
        <v>460</v>
      </c>
      <c r="G46" s="7" t="s">
        <v>461</v>
      </c>
      <c r="H46" s="7" t="s">
        <v>470</v>
      </c>
      <c r="I46" s="7" t="s">
        <v>471</v>
      </c>
      <c r="J46" s="7" t="s">
        <v>1891</v>
      </c>
      <c r="K46" s="8"/>
      <c r="L46" s="7"/>
      <c r="M46" s="7"/>
      <c r="N46" s="7"/>
      <c r="O46" s="7" t="s">
        <v>66</v>
      </c>
      <c r="P46" s="7" t="s">
        <v>109</v>
      </c>
      <c r="Q46" s="7" t="s">
        <v>1720</v>
      </c>
      <c r="R46" s="7" t="s">
        <v>1892</v>
      </c>
      <c r="S46" s="7" t="s">
        <v>1762</v>
      </c>
    </row>
    <row r="47" spans="1:19" ht="30" customHeight="1" x14ac:dyDescent="0.25">
      <c r="A47" s="6" t="s">
        <v>1893</v>
      </c>
      <c r="B47" s="6" t="s">
        <v>13</v>
      </c>
      <c r="C47" s="7" t="s">
        <v>1695</v>
      </c>
      <c r="D47" s="7" t="s">
        <v>1894</v>
      </c>
      <c r="E47" s="7" t="s">
        <v>1805</v>
      </c>
      <c r="F47" s="7" t="s">
        <v>536</v>
      </c>
      <c r="G47" s="7" t="s">
        <v>537</v>
      </c>
      <c r="H47" s="7" t="s">
        <v>1895</v>
      </c>
      <c r="I47" s="7" t="s">
        <v>1896</v>
      </c>
      <c r="J47" s="7" t="s">
        <v>1897</v>
      </c>
      <c r="K47" s="8" t="s">
        <v>1898</v>
      </c>
      <c r="L47" s="7" t="s">
        <v>1777</v>
      </c>
      <c r="M47" s="7" t="s">
        <v>1899</v>
      </c>
      <c r="N47" s="7" t="s">
        <v>1900</v>
      </c>
      <c r="O47" s="7" t="s">
        <v>48</v>
      </c>
      <c r="P47" s="7" t="s">
        <v>58</v>
      </c>
      <c r="Q47" s="7" t="s">
        <v>1339</v>
      </c>
      <c r="R47" s="7" t="s">
        <v>1797</v>
      </c>
      <c r="S47" s="7" t="s">
        <v>1901</v>
      </c>
    </row>
  </sheetData>
  <mergeCells count="2">
    <mergeCell ref="A2:S2"/>
    <mergeCell ref="A1:S1"/>
  </mergeCells>
  <phoneticPr fontId="12" type="noConversion"/>
  <conditionalFormatting sqref="B5:B47">
    <cfRule type="expression" dxfId="20" priority="1">
      <formula>OR(B5="Reviewed",B5="Human-Checked",B5="Human-Revised",B5="Supported")</formula>
    </cfRule>
    <cfRule type="expression" dxfId="19" priority="2">
      <formula>OR(B5="Research",B5="AI-Seeded",B5="Candidate",B5="Lead")</formula>
    </cfRule>
    <cfRule type="expression" dxfId="18" priority="3">
      <formula>OR(B5="Needs Second Source",B5="Needs Local Retrieval",B5="Failed")</formula>
    </cfRule>
  </conditionalFormatting>
  <conditionalFormatting sqref="P5:P47">
    <cfRule type="expression" dxfId="17" priority="4">
      <formula>OR(P5="Reviewed",P5="Human-Checked",P5="Human-Revised",P5="Supported")</formula>
    </cfRule>
    <cfRule type="expression" dxfId="16" priority="5">
      <formula>OR(P5="Research",P5="AI-Seeded",P5="Candidate",P5="Lead")</formula>
    </cfRule>
    <cfRule type="expression" dxfId="15" priority="6">
      <formula>OR(P5="Needs Second Source",P5="Needs Local Retrieval",P5="Failed")</formula>
    </cfRule>
  </conditionalFormatting>
  <conditionalFormatting sqref="Q5:Q47">
    <cfRule type="expression" dxfId="14" priority="7">
      <formula>OR(Q5="Reviewed",Q5="Human-Checked",Q5="Human-Revised",Q5="Supported")</formula>
    </cfRule>
    <cfRule type="expression" dxfId="13" priority="8">
      <formula>OR(Q5="Research",Q5="AI-Seeded",Q5="Candidate",Q5="Lead")</formula>
    </cfRule>
    <cfRule type="expression" dxfId="12" priority="9">
      <formula>OR(Q5="Needs Second Source",Q5="Needs Local Retrieval",Q5="Failed")</formula>
    </cfRule>
  </conditionalFormatting>
  <pageMargins left="0.25" right="0.25" top="0.4" bottom="0.4" header="0.5" footer="0.5"/>
  <pageSetup orientation="landscape"/>
  <headerFooter>
    <oddHeader>&amp;C&amp;BTyped Relations</oddHeader>
    <oddFooter>&amp;LOkinawa NGO / Civic Organization Database&amp;CEnglish presentation edition&amp;RPage &amp;P of &amp;N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85C78"/>
    <pageSetUpPr fitToPage="1"/>
  </sheetPr>
  <dimension ref="A1:O10"/>
  <sheetViews>
    <sheetView showGridLines="0" zoomScale="85" workbookViewId="0">
      <pane ySplit="4" topLeftCell="A5" activePane="bottomLeft" state="frozen"/>
      <selection pane="bottomLeft"/>
    </sheetView>
  </sheetViews>
  <sheetFormatPr defaultRowHeight="14.4" x14ac:dyDescent="0.25"/>
  <cols>
    <col min="1" max="1" width="11" customWidth="1"/>
    <col min="2" max="2" width="42" customWidth="1"/>
    <col min="3" max="3" width="32" customWidth="1"/>
    <col min="4" max="4" width="42" customWidth="1"/>
    <col min="5" max="5" width="37" customWidth="1"/>
    <col min="6" max="6" width="42" customWidth="1"/>
    <col min="7" max="7" width="12" customWidth="1"/>
    <col min="8" max="8" width="15" customWidth="1"/>
    <col min="9" max="11" width="42" customWidth="1"/>
    <col min="12" max="12" width="21" customWidth="1"/>
    <col min="13" max="13" width="16" customWidth="1"/>
    <col min="14" max="14" width="15" customWidth="1"/>
    <col min="15" max="15" width="42" customWidth="1"/>
  </cols>
  <sheetData>
    <row r="1" spans="1:15" ht="34.049999999999997" customHeight="1" x14ac:dyDescent="0.25">
      <c r="A1" s="21" t="s">
        <v>1902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31.95" customHeight="1" x14ac:dyDescent="0.25">
      <c r="A2" s="20" t="s">
        <v>1903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4" spans="1:15" ht="34.049999999999997" customHeight="1" x14ac:dyDescent="0.25">
      <c r="A4" s="5" t="s">
        <v>1904</v>
      </c>
      <c r="B4" s="5" t="s">
        <v>1905</v>
      </c>
      <c r="C4" s="5" t="s">
        <v>693</v>
      </c>
      <c r="D4" s="5" t="s">
        <v>1906</v>
      </c>
      <c r="E4" s="5" t="s">
        <v>1907</v>
      </c>
      <c r="F4" s="5" t="s">
        <v>1908</v>
      </c>
      <c r="G4" s="5" t="s">
        <v>1909</v>
      </c>
      <c r="H4" s="5" t="s">
        <v>1910</v>
      </c>
      <c r="I4" s="5" t="s">
        <v>1911</v>
      </c>
      <c r="J4" s="5" t="s">
        <v>1912</v>
      </c>
      <c r="K4" s="5" t="s">
        <v>1913</v>
      </c>
      <c r="L4" s="5" t="s">
        <v>41</v>
      </c>
      <c r="M4" s="5" t="s">
        <v>38</v>
      </c>
      <c r="N4" s="5" t="s">
        <v>39</v>
      </c>
      <c r="O4" s="5" t="s">
        <v>782</v>
      </c>
    </row>
    <row r="5" spans="1:15" ht="30" customHeight="1" x14ac:dyDescent="0.25">
      <c r="A5" s="6" t="s">
        <v>1914</v>
      </c>
      <c r="B5" s="6" t="s">
        <v>1915</v>
      </c>
      <c r="C5" s="7" t="s">
        <v>1916</v>
      </c>
      <c r="D5" s="7" t="s">
        <v>1917</v>
      </c>
      <c r="E5" s="7" t="s">
        <v>1918</v>
      </c>
      <c r="F5" s="7" t="s">
        <v>1919</v>
      </c>
      <c r="G5" s="7" t="s">
        <v>1920</v>
      </c>
      <c r="H5" s="7" t="s">
        <v>1921</v>
      </c>
      <c r="I5" s="7" t="s">
        <v>1578</v>
      </c>
      <c r="J5" s="7" t="s">
        <v>1922</v>
      </c>
      <c r="K5" s="7" t="s">
        <v>1923</v>
      </c>
      <c r="L5" s="7" t="s">
        <v>1924</v>
      </c>
      <c r="M5" s="7" t="s">
        <v>48</v>
      </c>
      <c r="N5" s="7" t="s">
        <v>109</v>
      </c>
      <c r="O5" s="7" t="s">
        <v>1925</v>
      </c>
    </row>
    <row r="6" spans="1:15" ht="30" customHeight="1" x14ac:dyDescent="0.25">
      <c r="A6" s="6" t="s">
        <v>1926</v>
      </c>
      <c r="B6" s="6" t="s">
        <v>1927</v>
      </c>
      <c r="C6" s="7" t="s">
        <v>1916</v>
      </c>
      <c r="D6" s="7" t="s">
        <v>1928</v>
      </c>
      <c r="E6" s="7" t="s">
        <v>1929</v>
      </c>
      <c r="F6" s="7" t="s">
        <v>1930</v>
      </c>
      <c r="G6" s="7" t="s">
        <v>1931</v>
      </c>
      <c r="H6" s="7" t="s">
        <v>1932</v>
      </c>
      <c r="I6" s="7" t="s">
        <v>1933</v>
      </c>
      <c r="J6" s="7" t="s">
        <v>1934</v>
      </c>
      <c r="K6" s="7" t="s">
        <v>1935</v>
      </c>
      <c r="L6" s="7" t="s">
        <v>1936</v>
      </c>
      <c r="M6" s="7" t="s">
        <v>48</v>
      </c>
      <c r="N6" s="7" t="s">
        <v>109</v>
      </c>
      <c r="O6" s="7" t="s">
        <v>1937</v>
      </c>
    </row>
    <row r="7" spans="1:15" ht="30" customHeight="1" x14ac:dyDescent="0.25">
      <c r="A7" s="6" t="s">
        <v>1938</v>
      </c>
      <c r="B7" s="6" t="s">
        <v>1939</v>
      </c>
      <c r="C7" s="7" t="s">
        <v>1940</v>
      </c>
      <c r="D7" s="7" t="s">
        <v>1941</v>
      </c>
      <c r="E7" s="7" t="s">
        <v>1942</v>
      </c>
      <c r="F7" s="7" t="s">
        <v>1943</v>
      </c>
      <c r="G7" s="7" t="s">
        <v>1944</v>
      </c>
      <c r="H7" s="7" t="s">
        <v>1945</v>
      </c>
      <c r="I7" s="7" t="s">
        <v>1677</v>
      </c>
      <c r="J7" s="7" t="s">
        <v>1946</v>
      </c>
      <c r="K7" s="7" t="s">
        <v>1947</v>
      </c>
      <c r="L7" s="7" t="s">
        <v>1948</v>
      </c>
      <c r="M7" s="7" t="s">
        <v>48</v>
      </c>
      <c r="N7" s="7" t="s">
        <v>109</v>
      </c>
      <c r="O7" s="7" t="s">
        <v>1949</v>
      </c>
    </row>
    <row r="8" spans="1:15" ht="30" customHeight="1" x14ac:dyDescent="0.25">
      <c r="A8" s="6" t="s">
        <v>1950</v>
      </c>
      <c r="B8" s="6" t="s">
        <v>1951</v>
      </c>
      <c r="C8" s="7" t="s">
        <v>277</v>
      </c>
      <c r="D8" s="7" t="s">
        <v>1952</v>
      </c>
      <c r="E8" s="7" t="s">
        <v>1942</v>
      </c>
      <c r="F8" s="7" t="s">
        <v>1953</v>
      </c>
      <c r="G8" s="7" t="s">
        <v>1954</v>
      </c>
      <c r="H8" s="7" t="s">
        <v>1955</v>
      </c>
      <c r="I8" s="7" t="s">
        <v>1677</v>
      </c>
      <c r="J8" s="7" t="s">
        <v>1956</v>
      </c>
      <c r="K8" s="7" t="s">
        <v>1957</v>
      </c>
      <c r="L8" s="7" t="s">
        <v>1958</v>
      </c>
      <c r="M8" s="7" t="s">
        <v>48</v>
      </c>
      <c r="N8" s="7" t="s">
        <v>109</v>
      </c>
      <c r="O8" s="7" t="s">
        <v>1959</v>
      </c>
    </row>
    <row r="9" spans="1:15" ht="30" customHeight="1" x14ac:dyDescent="0.25">
      <c r="A9" s="6" t="s">
        <v>1960</v>
      </c>
      <c r="B9" s="6" t="s">
        <v>1961</v>
      </c>
      <c r="C9" s="7" t="s">
        <v>1962</v>
      </c>
      <c r="D9" s="7" t="s">
        <v>1963</v>
      </c>
      <c r="E9" s="7" t="s">
        <v>1964</v>
      </c>
      <c r="F9" s="7" t="s">
        <v>1965</v>
      </c>
      <c r="G9" s="7" t="s">
        <v>1966</v>
      </c>
      <c r="H9" s="7" t="s">
        <v>1967</v>
      </c>
      <c r="I9" s="7" t="s">
        <v>1968</v>
      </c>
      <c r="J9" s="7" t="s">
        <v>1969</v>
      </c>
      <c r="K9" s="7" t="s">
        <v>1970</v>
      </c>
      <c r="L9" s="7" t="s">
        <v>1971</v>
      </c>
      <c r="M9" s="7" t="s">
        <v>48</v>
      </c>
      <c r="N9" s="7" t="s">
        <v>109</v>
      </c>
      <c r="O9" s="7" t="s">
        <v>1972</v>
      </c>
    </row>
    <row r="10" spans="1:15" ht="30" customHeight="1" x14ac:dyDescent="0.25">
      <c r="A10" s="6" t="s">
        <v>1973</v>
      </c>
      <c r="B10" s="6" t="s">
        <v>1974</v>
      </c>
      <c r="C10" s="7" t="s">
        <v>1975</v>
      </c>
      <c r="D10" s="7" t="s">
        <v>1976</v>
      </c>
      <c r="E10" s="7" t="s">
        <v>1977</v>
      </c>
      <c r="F10" s="7" t="s">
        <v>1978</v>
      </c>
      <c r="G10" s="7" t="s">
        <v>1979</v>
      </c>
      <c r="H10" s="7" t="s">
        <v>1980</v>
      </c>
      <c r="I10" s="7" t="s">
        <v>1981</v>
      </c>
      <c r="J10" s="7" t="s">
        <v>1982</v>
      </c>
      <c r="K10" s="7" t="s">
        <v>1983</v>
      </c>
      <c r="L10" s="7" t="s">
        <v>1984</v>
      </c>
      <c r="M10" s="7" t="s">
        <v>48</v>
      </c>
      <c r="N10" s="7" t="s">
        <v>109</v>
      </c>
      <c r="O10" s="7" t="s">
        <v>1985</v>
      </c>
    </row>
  </sheetData>
  <mergeCells count="2">
    <mergeCell ref="A1:O1"/>
    <mergeCell ref="A2:O2"/>
  </mergeCells>
  <phoneticPr fontId="12" type="noConversion"/>
  <conditionalFormatting sqref="N5:N10">
    <cfRule type="expression" dxfId="11" priority="1">
      <formula>OR(N5="Reviewed",N5="Human-Checked",N5="Human-Revised",N5="Supported")</formula>
    </cfRule>
    <cfRule type="expression" dxfId="10" priority="2">
      <formula>OR(N5="Research",N5="AI-Seeded",N5="Candidate",N5="Lead")</formula>
    </cfRule>
    <cfRule type="expression" dxfId="9" priority="3">
      <formula>OR(N5="Needs Second Source",N5="Needs Local Retrieval",N5="Failed")</formula>
    </cfRule>
  </conditionalFormatting>
  <pageMargins left="0.25" right="0.25" top="0.4" bottom="0.4" header="0.5" footer="0.5"/>
  <pageSetup orientation="landscape"/>
  <headerFooter>
    <oddHeader>&amp;C&amp;BLegal Cases</oddHeader>
    <oddFooter>&amp;LOkinawa NGO / Civic Organization Database&amp;CEnglish presentation edition&amp;RPage &amp;P of &amp;N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B85C78"/>
    <pageSetUpPr fitToPage="1"/>
  </sheetPr>
  <dimension ref="A1:N31"/>
  <sheetViews>
    <sheetView showGridLines="0" zoomScale="85" workbookViewId="0">
      <pane ySplit="4" topLeftCell="A5" activePane="bottomLeft" state="frozen"/>
      <selection pane="bottomLeft"/>
    </sheetView>
  </sheetViews>
  <sheetFormatPr defaultRowHeight="14.4" x14ac:dyDescent="0.25"/>
  <cols>
    <col min="1" max="3" width="11" customWidth="1"/>
    <col min="4" max="4" width="42" customWidth="1"/>
    <col min="5" max="5" width="24" customWidth="1"/>
    <col min="6" max="6" width="40" customWidth="1"/>
    <col min="7" max="8" width="25" customWidth="1"/>
    <col min="9" max="10" width="42" customWidth="1"/>
    <col min="11" max="11" width="12" customWidth="1"/>
    <col min="12" max="12" width="16" customWidth="1"/>
    <col min="13" max="13" width="15" customWidth="1"/>
    <col min="14" max="14" width="42" customWidth="1"/>
  </cols>
  <sheetData>
    <row r="1" spans="1:14" ht="34.049999999999997" customHeight="1" x14ac:dyDescent="0.25">
      <c r="A1" s="21" t="s">
        <v>1986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31.95" customHeight="1" x14ac:dyDescent="0.25">
      <c r="A2" s="20" t="s">
        <v>1987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4" ht="34.049999999999997" customHeight="1" x14ac:dyDescent="0.25">
      <c r="A4" s="5" t="s">
        <v>1988</v>
      </c>
      <c r="B4" s="5" t="s">
        <v>1904</v>
      </c>
      <c r="C4" s="5" t="s">
        <v>1989</v>
      </c>
      <c r="D4" s="5" t="s">
        <v>1990</v>
      </c>
      <c r="E4" s="5" t="s">
        <v>1991</v>
      </c>
      <c r="F4" s="5" t="s">
        <v>1485</v>
      </c>
      <c r="G4" s="5" t="s">
        <v>1992</v>
      </c>
      <c r="H4" s="5" t="s">
        <v>1993</v>
      </c>
      <c r="I4" s="5" t="s">
        <v>1994</v>
      </c>
      <c r="J4" s="5" t="s">
        <v>1995</v>
      </c>
      <c r="K4" s="5" t="s">
        <v>41</v>
      </c>
      <c r="L4" s="5" t="s">
        <v>38</v>
      </c>
      <c r="M4" s="5" t="s">
        <v>39</v>
      </c>
      <c r="N4" s="5" t="s">
        <v>782</v>
      </c>
    </row>
    <row r="5" spans="1:14" ht="30" customHeight="1" x14ac:dyDescent="0.25">
      <c r="A5" s="6" t="s">
        <v>1996</v>
      </c>
      <c r="B5" s="6" t="s">
        <v>1914</v>
      </c>
      <c r="C5" s="7" t="s">
        <v>238</v>
      </c>
      <c r="D5" s="7" t="s">
        <v>239</v>
      </c>
      <c r="E5" s="7" t="s">
        <v>1997</v>
      </c>
      <c r="F5" s="7" t="s">
        <v>1998</v>
      </c>
      <c r="G5" s="7" t="s">
        <v>1998</v>
      </c>
      <c r="H5" s="7" t="s">
        <v>1999</v>
      </c>
      <c r="I5" s="7" t="s">
        <v>1578</v>
      </c>
      <c r="J5" s="7" t="s">
        <v>2000</v>
      </c>
      <c r="K5" s="7" t="s">
        <v>994</v>
      </c>
      <c r="L5" s="7" t="s">
        <v>48</v>
      </c>
      <c r="M5" s="7" t="s">
        <v>109</v>
      </c>
      <c r="N5" s="7" t="s">
        <v>2001</v>
      </c>
    </row>
    <row r="6" spans="1:14" ht="30" customHeight="1" x14ac:dyDescent="0.25">
      <c r="A6" s="6" t="s">
        <v>2002</v>
      </c>
      <c r="B6" s="6" t="s">
        <v>1914</v>
      </c>
      <c r="C6" s="7" t="s">
        <v>375</v>
      </c>
      <c r="D6" s="7" t="s">
        <v>376</v>
      </c>
      <c r="E6" s="7" t="s">
        <v>1997</v>
      </c>
      <c r="F6" s="7" t="s">
        <v>1998</v>
      </c>
      <c r="G6" s="7" t="s">
        <v>1998</v>
      </c>
      <c r="H6" s="7" t="s">
        <v>1999</v>
      </c>
      <c r="I6" s="7" t="s">
        <v>1578</v>
      </c>
      <c r="J6" s="7" t="s">
        <v>2003</v>
      </c>
      <c r="K6" s="7" t="s">
        <v>2004</v>
      </c>
      <c r="L6" s="7" t="s">
        <v>48</v>
      </c>
      <c r="M6" s="7" t="s">
        <v>109</v>
      </c>
      <c r="N6" s="7" t="s">
        <v>2005</v>
      </c>
    </row>
    <row r="7" spans="1:14" ht="30" customHeight="1" x14ac:dyDescent="0.25">
      <c r="A7" s="6" t="s">
        <v>2006</v>
      </c>
      <c r="B7" s="6" t="s">
        <v>1914</v>
      </c>
      <c r="C7" s="7" t="s">
        <v>153</v>
      </c>
      <c r="D7" s="7" t="s">
        <v>154</v>
      </c>
      <c r="E7" s="7" t="s">
        <v>1997</v>
      </c>
      <c r="F7" s="7" t="s">
        <v>1998</v>
      </c>
      <c r="G7" s="7" t="s">
        <v>1998</v>
      </c>
      <c r="H7" s="7" t="s">
        <v>1999</v>
      </c>
      <c r="I7" s="7" t="s">
        <v>1578</v>
      </c>
      <c r="J7" s="7" t="s">
        <v>2007</v>
      </c>
      <c r="K7" s="7" t="s">
        <v>2008</v>
      </c>
      <c r="L7" s="7" t="s">
        <v>48</v>
      </c>
      <c r="M7" s="7" t="s">
        <v>109</v>
      </c>
      <c r="N7" s="7" t="s">
        <v>2009</v>
      </c>
    </row>
    <row r="8" spans="1:14" ht="30" customHeight="1" x14ac:dyDescent="0.25">
      <c r="A8" s="6" t="s">
        <v>2010</v>
      </c>
      <c r="B8" s="6" t="s">
        <v>1914</v>
      </c>
      <c r="C8" s="7" t="s">
        <v>371</v>
      </c>
      <c r="D8" s="7" t="s">
        <v>372</v>
      </c>
      <c r="E8" s="7" t="s">
        <v>1997</v>
      </c>
      <c r="F8" s="7" t="s">
        <v>1998</v>
      </c>
      <c r="G8" s="7" t="s">
        <v>1998</v>
      </c>
      <c r="H8" s="7" t="s">
        <v>1999</v>
      </c>
      <c r="I8" s="7" t="s">
        <v>1578</v>
      </c>
      <c r="J8" s="7" t="s">
        <v>2011</v>
      </c>
      <c r="K8" s="7" t="s">
        <v>2008</v>
      </c>
      <c r="L8" s="7" t="s">
        <v>48</v>
      </c>
      <c r="M8" s="7" t="s">
        <v>109</v>
      </c>
      <c r="N8" s="7" t="s">
        <v>2012</v>
      </c>
    </row>
    <row r="9" spans="1:14" ht="30" customHeight="1" x14ac:dyDescent="0.25">
      <c r="A9" s="6" t="s">
        <v>2013</v>
      </c>
      <c r="B9" s="6" t="s">
        <v>1914</v>
      </c>
      <c r="C9" s="7" t="s">
        <v>95</v>
      </c>
      <c r="D9" s="7" t="s">
        <v>96</v>
      </c>
      <c r="E9" s="7" t="s">
        <v>1997</v>
      </c>
      <c r="F9" s="7" t="s">
        <v>2014</v>
      </c>
      <c r="G9" s="7" t="s">
        <v>2014</v>
      </c>
      <c r="H9" s="7" t="s">
        <v>1999</v>
      </c>
      <c r="I9" s="7" t="s">
        <v>1578</v>
      </c>
      <c r="J9" s="7" t="s">
        <v>2015</v>
      </c>
      <c r="K9" s="7" t="s">
        <v>2016</v>
      </c>
      <c r="L9" s="7" t="s">
        <v>48</v>
      </c>
      <c r="M9" s="7" t="s">
        <v>109</v>
      </c>
      <c r="N9" s="7" t="s">
        <v>2017</v>
      </c>
    </row>
    <row r="10" spans="1:14" ht="30" customHeight="1" x14ac:dyDescent="0.25">
      <c r="A10" s="6" t="s">
        <v>2018</v>
      </c>
      <c r="B10" s="6" t="s">
        <v>1914</v>
      </c>
      <c r="C10" s="7" t="s">
        <v>52</v>
      </c>
      <c r="D10" s="7" t="s">
        <v>53</v>
      </c>
      <c r="E10" s="7" t="s">
        <v>1997</v>
      </c>
      <c r="F10" s="7" t="s">
        <v>2019</v>
      </c>
      <c r="G10" s="7" t="s">
        <v>2019</v>
      </c>
      <c r="H10" s="7" t="s">
        <v>2020</v>
      </c>
      <c r="I10" s="7" t="s">
        <v>1578</v>
      </c>
      <c r="J10" s="7" t="s">
        <v>2021</v>
      </c>
      <c r="K10" s="7" t="s">
        <v>2008</v>
      </c>
      <c r="L10" s="7" t="s">
        <v>48</v>
      </c>
      <c r="M10" s="7" t="s">
        <v>109</v>
      </c>
      <c r="N10" s="7" t="s">
        <v>2022</v>
      </c>
    </row>
    <row r="11" spans="1:14" ht="30" customHeight="1" x14ac:dyDescent="0.25">
      <c r="A11" s="6" t="s">
        <v>2023</v>
      </c>
      <c r="B11" s="6" t="s">
        <v>1914</v>
      </c>
      <c r="C11" s="7" t="s">
        <v>148</v>
      </c>
      <c r="D11" s="7" t="s">
        <v>149</v>
      </c>
      <c r="E11" s="7" t="s">
        <v>1997</v>
      </c>
      <c r="F11" s="7" t="s">
        <v>2019</v>
      </c>
      <c r="G11" s="7" t="s">
        <v>2019</v>
      </c>
      <c r="H11" s="7" t="s">
        <v>2020</v>
      </c>
      <c r="I11" s="7" t="s">
        <v>1578</v>
      </c>
      <c r="J11" s="7" t="s">
        <v>2024</v>
      </c>
      <c r="K11" s="7" t="s">
        <v>2025</v>
      </c>
      <c r="L11" s="7" t="s">
        <v>66</v>
      </c>
      <c r="M11" s="7" t="s">
        <v>109</v>
      </c>
      <c r="N11" s="7" t="s">
        <v>2026</v>
      </c>
    </row>
    <row r="12" spans="1:14" ht="30" customHeight="1" x14ac:dyDescent="0.25">
      <c r="A12" s="6" t="s">
        <v>2027</v>
      </c>
      <c r="B12" s="6" t="s">
        <v>1926</v>
      </c>
      <c r="C12" s="7" t="s">
        <v>69</v>
      </c>
      <c r="D12" s="7" t="s">
        <v>70</v>
      </c>
      <c r="E12" s="7" t="s">
        <v>1997</v>
      </c>
      <c r="F12" s="7" t="s">
        <v>2028</v>
      </c>
      <c r="G12" s="7" t="s">
        <v>2028</v>
      </c>
      <c r="H12" s="7" t="s">
        <v>2029</v>
      </c>
      <c r="I12" s="7" t="s">
        <v>2030</v>
      </c>
      <c r="J12" s="7" t="s">
        <v>2031</v>
      </c>
      <c r="K12" s="7" t="s">
        <v>2032</v>
      </c>
      <c r="L12" s="7" t="s">
        <v>48</v>
      </c>
      <c r="M12" s="7" t="s">
        <v>109</v>
      </c>
      <c r="N12" s="7" t="s">
        <v>2033</v>
      </c>
    </row>
    <row r="13" spans="1:14" ht="30" customHeight="1" x14ac:dyDescent="0.25">
      <c r="A13" s="6" t="s">
        <v>2034</v>
      </c>
      <c r="B13" s="6" t="s">
        <v>1926</v>
      </c>
      <c r="C13" s="7" t="s">
        <v>2035</v>
      </c>
      <c r="D13" s="7" t="s">
        <v>369</v>
      </c>
      <c r="E13" s="7" t="s">
        <v>364</v>
      </c>
      <c r="F13" s="7" t="s">
        <v>2036</v>
      </c>
      <c r="G13" s="7" t="s">
        <v>2037</v>
      </c>
      <c r="H13" s="7" t="s">
        <v>2038</v>
      </c>
      <c r="I13" s="7" t="s">
        <v>2039</v>
      </c>
      <c r="J13" s="7" t="s">
        <v>2040</v>
      </c>
      <c r="K13" s="7" t="s">
        <v>2041</v>
      </c>
      <c r="L13" s="7" t="s">
        <v>48</v>
      </c>
      <c r="M13" s="7" t="s">
        <v>109</v>
      </c>
      <c r="N13" s="7" t="s">
        <v>2042</v>
      </c>
    </row>
    <row r="14" spans="1:14" ht="30" customHeight="1" x14ac:dyDescent="0.25">
      <c r="A14" s="6" t="s">
        <v>2043</v>
      </c>
      <c r="B14" s="6" t="s">
        <v>1926</v>
      </c>
      <c r="C14" s="7" t="s">
        <v>2044</v>
      </c>
      <c r="D14" s="7" t="s">
        <v>2045</v>
      </c>
      <c r="E14" s="7" t="s">
        <v>364</v>
      </c>
      <c r="F14" s="7" t="s">
        <v>2046</v>
      </c>
      <c r="G14" s="7" t="s">
        <v>2047</v>
      </c>
      <c r="H14" s="7" t="s">
        <v>2047</v>
      </c>
      <c r="I14" s="7" t="s">
        <v>369</v>
      </c>
      <c r="J14" s="7" t="s">
        <v>2048</v>
      </c>
      <c r="K14" s="7" t="s">
        <v>2049</v>
      </c>
      <c r="L14" s="7" t="s">
        <v>48</v>
      </c>
      <c r="M14" s="7" t="s">
        <v>109</v>
      </c>
      <c r="N14" s="7" t="s">
        <v>2050</v>
      </c>
    </row>
    <row r="15" spans="1:14" ht="30" customHeight="1" x14ac:dyDescent="0.25">
      <c r="A15" s="6" t="s">
        <v>2051</v>
      </c>
      <c r="B15" s="6" t="s">
        <v>1938</v>
      </c>
      <c r="C15" s="7" t="s">
        <v>2052</v>
      </c>
      <c r="D15" s="7" t="s">
        <v>2053</v>
      </c>
      <c r="E15" s="7" t="s">
        <v>2054</v>
      </c>
      <c r="F15" s="7" t="s">
        <v>1998</v>
      </c>
      <c r="G15" s="7" t="s">
        <v>1998</v>
      </c>
      <c r="H15" s="7" t="s">
        <v>1999</v>
      </c>
      <c r="I15" s="7" t="s">
        <v>1677</v>
      </c>
      <c r="J15" s="7" t="s">
        <v>2055</v>
      </c>
      <c r="K15" s="7" t="s">
        <v>2056</v>
      </c>
      <c r="L15" s="7" t="s">
        <v>48</v>
      </c>
      <c r="M15" s="7" t="s">
        <v>109</v>
      </c>
      <c r="N15" s="7" t="s">
        <v>2057</v>
      </c>
    </row>
    <row r="16" spans="1:14" ht="30" customHeight="1" x14ac:dyDescent="0.25">
      <c r="A16" s="6" t="s">
        <v>2058</v>
      </c>
      <c r="B16" s="6" t="s">
        <v>1938</v>
      </c>
      <c r="C16" s="7" t="s">
        <v>269</v>
      </c>
      <c r="D16" s="7" t="s">
        <v>270</v>
      </c>
      <c r="E16" s="7" t="s">
        <v>1997</v>
      </c>
      <c r="F16" s="7" t="s">
        <v>2059</v>
      </c>
      <c r="G16" s="7" t="s">
        <v>1998</v>
      </c>
      <c r="H16" s="7" t="s">
        <v>1999</v>
      </c>
      <c r="I16" s="7" t="s">
        <v>1677</v>
      </c>
      <c r="J16" s="7" t="s">
        <v>2060</v>
      </c>
      <c r="K16" s="7" t="s">
        <v>2061</v>
      </c>
      <c r="L16" s="7" t="s">
        <v>66</v>
      </c>
      <c r="M16" s="7" t="s">
        <v>109</v>
      </c>
      <c r="N16" s="7" t="s">
        <v>2062</v>
      </c>
    </row>
    <row r="17" spans="1:14" ht="30" customHeight="1" x14ac:dyDescent="0.25">
      <c r="A17" s="6" t="s">
        <v>2063</v>
      </c>
      <c r="B17" s="6" t="s">
        <v>1938</v>
      </c>
      <c r="C17" s="7" t="s">
        <v>2064</v>
      </c>
      <c r="D17" s="7" t="s">
        <v>2065</v>
      </c>
      <c r="E17" s="7" t="s">
        <v>2054</v>
      </c>
      <c r="F17" s="7" t="s">
        <v>2014</v>
      </c>
      <c r="G17" s="7" t="s">
        <v>2014</v>
      </c>
      <c r="H17" s="7" t="s">
        <v>1999</v>
      </c>
      <c r="I17" s="7" t="s">
        <v>1677</v>
      </c>
      <c r="J17" s="7" t="s">
        <v>2066</v>
      </c>
      <c r="K17" s="7" t="s">
        <v>2061</v>
      </c>
      <c r="L17" s="7" t="s">
        <v>66</v>
      </c>
      <c r="M17" s="7" t="s">
        <v>109</v>
      </c>
      <c r="N17" s="7" t="s">
        <v>2067</v>
      </c>
    </row>
    <row r="18" spans="1:14" ht="30" customHeight="1" x14ac:dyDescent="0.25">
      <c r="A18" s="6" t="s">
        <v>2068</v>
      </c>
      <c r="B18" s="6" t="s">
        <v>1938</v>
      </c>
      <c r="C18" s="7" t="s">
        <v>2069</v>
      </c>
      <c r="D18" s="7" t="s">
        <v>1677</v>
      </c>
      <c r="E18" s="7" t="s">
        <v>364</v>
      </c>
      <c r="F18" s="7" t="s">
        <v>1632</v>
      </c>
      <c r="G18" s="7" t="s">
        <v>1632</v>
      </c>
      <c r="H18" s="7" t="s">
        <v>2070</v>
      </c>
      <c r="I18" s="7" t="s">
        <v>2071</v>
      </c>
      <c r="J18" s="7" t="s">
        <v>2072</v>
      </c>
      <c r="K18" s="7" t="s">
        <v>2056</v>
      </c>
      <c r="L18" s="7" t="s">
        <v>48</v>
      </c>
      <c r="M18" s="7" t="s">
        <v>109</v>
      </c>
      <c r="N18" s="7" t="s">
        <v>2073</v>
      </c>
    </row>
    <row r="19" spans="1:14" ht="30" customHeight="1" x14ac:dyDescent="0.25">
      <c r="A19" s="6" t="s">
        <v>2074</v>
      </c>
      <c r="B19" s="6" t="s">
        <v>1950</v>
      </c>
      <c r="C19" s="7" t="s">
        <v>2075</v>
      </c>
      <c r="D19" s="7" t="s">
        <v>2076</v>
      </c>
      <c r="E19" s="7" t="s">
        <v>2054</v>
      </c>
      <c r="F19" s="7" t="s">
        <v>1998</v>
      </c>
      <c r="G19" s="7" t="s">
        <v>1998</v>
      </c>
      <c r="H19" s="7" t="s">
        <v>1999</v>
      </c>
      <c r="I19" s="7" t="s">
        <v>1677</v>
      </c>
      <c r="J19" s="7" t="s">
        <v>2077</v>
      </c>
      <c r="K19" s="7" t="s">
        <v>2078</v>
      </c>
      <c r="L19" s="7" t="s">
        <v>48</v>
      </c>
      <c r="M19" s="7" t="s">
        <v>109</v>
      </c>
      <c r="N19" s="7" t="s">
        <v>2079</v>
      </c>
    </row>
    <row r="20" spans="1:14" ht="30" customHeight="1" x14ac:dyDescent="0.25">
      <c r="A20" s="6" t="s">
        <v>2080</v>
      </c>
      <c r="B20" s="6" t="s">
        <v>1950</v>
      </c>
      <c r="C20" s="7" t="s">
        <v>275</v>
      </c>
      <c r="D20" s="7" t="s">
        <v>276</v>
      </c>
      <c r="E20" s="7" t="s">
        <v>1997</v>
      </c>
      <c r="F20" s="7" t="s">
        <v>2059</v>
      </c>
      <c r="G20" s="7" t="s">
        <v>1998</v>
      </c>
      <c r="H20" s="7" t="s">
        <v>1999</v>
      </c>
      <c r="I20" s="7" t="s">
        <v>1677</v>
      </c>
      <c r="J20" s="7" t="s">
        <v>2081</v>
      </c>
      <c r="K20" s="7" t="s">
        <v>2082</v>
      </c>
      <c r="L20" s="7" t="s">
        <v>66</v>
      </c>
      <c r="M20" s="7" t="s">
        <v>109</v>
      </c>
      <c r="N20" s="7" t="s">
        <v>2083</v>
      </c>
    </row>
    <row r="21" spans="1:14" ht="30" customHeight="1" x14ac:dyDescent="0.25">
      <c r="A21" s="6" t="s">
        <v>2084</v>
      </c>
      <c r="B21" s="6" t="s">
        <v>1950</v>
      </c>
      <c r="C21" s="7" t="s">
        <v>2085</v>
      </c>
      <c r="D21" s="7" t="s">
        <v>2086</v>
      </c>
      <c r="E21" s="7" t="s">
        <v>2087</v>
      </c>
      <c r="F21" s="7" t="s">
        <v>2088</v>
      </c>
      <c r="G21" s="7" t="s">
        <v>2014</v>
      </c>
      <c r="H21" s="7" t="s">
        <v>1999</v>
      </c>
      <c r="I21" s="7" t="s">
        <v>1677</v>
      </c>
      <c r="J21" s="7" t="s">
        <v>2089</v>
      </c>
      <c r="K21" s="7" t="s">
        <v>2082</v>
      </c>
      <c r="L21" s="7" t="s">
        <v>48</v>
      </c>
      <c r="M21" s="7" t="s">
        <v>109</v>
      </c>
      <c r="N21" s="7" t="s">
        <v>2090</v>
      </c>
    </row>
    <row r="22" spans="1:14" ht="30" customHeight="1" x14ac:dyDescent="0.25">
      <c r="A22" s="6" t="s">
        <v>2091</v>
      </c>
      <c r="B22" s="6" t="s">
        <v>1950</v>
      </c>
      <c r="C22" s="7" t="s">
        <v>2069</v>
      </c>
      <c r="D22" s="7" t="s">
        <v>1677</v>
      </c>
      <c r="E22" s="7" t="s">
        <v>364</v>
      </c>
      <c r="F22" s="7" t="s">
        <v>1632</v>
      </c>
      <c r="G22" s="7" t="s">
        <v>1632</v>
      </c>
      <c r="H22" s="7" t="s">
        <v>2070</v>
      </c>
      <c r="I22" s="7" t="s">
        <v>2092</v>
      </c>
      <c r="J22" s="7" t="s">
        <v>2093</v>
      </c>
      <c r="K22" s="7" t="s">
        <v>2078</v>
      </c>
      <c r="L22" s="7" t="s">
        <v>48</v>
      </c>
      <c r="M22" s="7" t="s">
        <v>109</v>
      </c>
      <c r="N22" s="7" t="s">
        <v>2094</v>
      </c>
    </row>
    <row r="23" spans="1:14" ht="30" customHeight="1" x14ac:dyDescent="0.25">
      <c r="A23" s="6" t="s">
        <v>2095</v>
      </c>
      <c r="B23" s="6" t="s">
        <v>1960</v>
      </c>
      <c r="C23" s="7" t="s">
        <v>2096</v>
      </c>
      <c r="D23" s="7" t="s">
        <v>2097</v>
      </c>
      <c r="E23" s="7" t="s">
        <v>2054</v>
      </c>
      <c r="F23" s="7" t="s">
        <v>1998</v>
      </c>
      <c r="G23" s="7" t="s">
        <v>1998</v>
      </c>
      <c r="H23" s="7" t="s">
        <v>1999</v>
      </c>
      <c r="I23" s="7" t="s">
        <v>742</v>
      </c>
      <c r="J23" s="7" t="s">
        <v>2098</v>
      </c>
      <c r="K23" s="7" t="s">
        <v>2099</v>
      </c>
      <c r="L23" s="7" t="s">
        <v>48</v>
      </c>
      <c r="M23" s="7" t="s">
        <v>109</v>
      </c>
      <c r="N23" s="7" t="s">
        <v>2100</v>
      </c>
    </row>
    <row r="24" spans="1:14" ht="30" customHeight="1" x14ac:dyDescent="0.25">
      <c r="A24" s="6" t="s">
        <v>2101</v>
      </c>
      <c r="B24" s="6" t="s">
        <v>1960</v>
      </c>
      <c r="C24" s="7" t="s">
        <v>106</v>
      </c>
      <c r="D24" s="7" t="s">
        <v>107</v>
      </c>
      <c r="E24" s="7" t="s">
        <v>1997</v>
      </c>
      <c r="F24" s="7" t="s">
        <v>2102</v>
      </c>
      <c r="G24" s="7" t="s">
        <v>2102</v>
      </c>
      <c r="H24" s="7" t="s">
        <v>2103</v>
      </c>
      <c r="I24" s="7" t="s">
        <v>2104</v>
      </c>
      <c r="J24" s="7" t="s">
        <v>2105</v>
      </c>
      <c r="K24" s="7" t="s">
        <v>2106</v>
      </c>
      <c r="L24" s="7" t="s">
        <v>66</v>
      </c>
      <c r="M24" s="7" t="s">
        <v>109</v>
      </c>
      <c r="N24" s="7" t="s">
        <v>2107</v>
      </c>
    </row>
    <row r="25" spans="1:14" ht="30" customHeight="1" x14ac:dyDescent="0.25">
      <c r="A25" s="6" t="s">
        <v>2108</v>
      </c>
      <c r="B25" s="6" t="s">
        <v>1960</v>
      </c>
      <c r="C25" s="7" t="s">
        <v>2109</v>
      </c>
      <c r="D25" s="7" t="s">
        <v>2110</v>
      </c>
      <c r="E25" s="7" t="s">
        <v>2111</v>
      </c>
      <c r="F25" s="7" t="s">
        <v>2014</v>
      </c>
      <c r="G25" s="7" t="s">
        <v>2014</v>
      </c>
      <c r="H25" s="7" t="s">
        <v>1999</v>
      </c>
      <c r="I25" s="7" t="s">
        <v>742</v>
      </c>
      <c r="J25" s="7" t="s">
        <v>2112</v>
      </c>
      <c r="K25" s="7" t="s">
        <v>2113</v>
      </c>
      <c r="L25" s="7" t="s">
        <v>48</v>
      </c>
      <c r="M25" s="7" t="s">
        <v>109</v>
      </c>
      <c r="N25" s="7" t="s">
        <v>2114</v>
      </c>
    </row>
    <row r="26" spans="1:14" ht="30" customHeight="1" x14ac:dyDescent="0.25">
      <c r="A26" s="6" t="s">
        <v>2115</v>
      </c>
      <c r="B26" s="6" t="s">
        <v>1960</v>
      </c>
      <c r="C26" s="7" t="s">
        <v>2116</v>
      </c>
      <c r="D26" s="7" t="s">
        <v>2117</v>
      </c>
      <c r="E26" s="7" t="s">
        <v>2118</v>
      </c>
      <c r="F26" s="7" t="s">
        <v>2119</v>
      </c>
      <c r="G26" s="7" t="s">
        <v>1632</v>
      </c>
      <c r="H26" s="7" t="s">
        <v>2070</v>
      </c>
      <c r="I26" s="7" t="s">
        <v>2120</v>
      </c>
      <c r="J26" s="7" t="s">
        <v>2121</v>
      </c>
      <c r="K26" s="7" t="s">
        <v>2099</v>
      </c>
      <c r="L26" s="7" t="s">
        <v>48</v>
      </c>
      <c r="M26" s="7" t="s">
        <v>109</v>
      </c>
      <c r="N26" s="7" t="s">
        <v>2122</v>
      </c>
    </row>
    <row r="27" spans="1:14" ht="30" customHeight="1" x14ac:dyDescent="0.25">
      <c r="A27" s="6" t="s">
        <v>2123</v>
      </c>
      <c r="B27" s="6" t="s">
        <v>1973</v>
      </c>
      <c r="C27" s="7" t="s">
        <v>2124</v>
      </c>
      <c r="D27" s="7" t="s">
        <v>2125</v>
      </c>
      <c r="E27" s="7" t="s">
        <v>2054</v>
      </c>
      <c r="F27" s="7" t="s">
        <v>1998</v>
      </c>
      <c r="G27" s="7" t="s">
        <v>1998</v>
      </c>
      <c r="H27" s="7" t="s">
        <v>1999</v>
      </c>
      <c r="I27" s="7" t="s">
        <v>1981</v>
      </c>
      <c r="J27" s="7" t="s">
        <v>2126</v>
      </c>
      <c r="K27" s="7" t="s">
        <v>2127</v>
      </c>
      <c r="L27" s="7" t="s">
        <v>48</v>
      </c>
      <c r="M27" s="7" t="s">
        <v>109</v>
      </c>
      <c r="N27" s="7" t="s">
        <v>2128</v>
      </c>
    </row>
    <row r="28" spans="1:14" ht="30" customHeight="1" x14ac:dyDescent="0.25">
      <c r="A28" s="6" t="s">
        <v>2129</v>
      </c>
      <c r="B28" s="6" t="s">
        <v>1973</v>
      </c>
      <c r="C28" s="7" t="s">
        <v>2130</v>
      </c>
      <c r="D28" s="7" t="s">
        <v>2131</v>
      </c>
      <c r="E28" s="7" t="s">
        <v>2054</v>
      </c>
      <c r="F28" s="7" t="s">
        <v>2014</v>
      </c>
      <c r="G28" s="7" t="s">
        <v>2014</v>
      </c>
      <c r="H28" s="7" t="s">
        <v>1999</v>
      </c>
      <c r="I28" s="7" t="s">
        <v>1981</v>
      </c>
      <c r="J28" s="7" t="s">
        <v>2132</v>
      </c>
      <c r="K28" s="7" t="s">
        <v>2133</v>
      </c>
      <c r="L28" s="7" t="s">
        <v>48</v>
      </c>
      <c r="M28" s="7" t="s">
        <v>109</v>
      </c>
      <c r="N28" s="7" t="s">
        <v>2134</v>
      </c>
    </row>
    <row r="29" spans="1:14" ht="30" customHeight="1" x14ac:dyDescent="0.25">
      <c r="A29" s="6" t="s">
        <v>2135</v>
      </c>
      <c r="B29" s="6" t="s">
        <v>1973</v>
      </c>
      <c r="C29" s="7" t="s">
        <v>284</v>
      </c>
      <c r="D29" s="7" t="s">
        <v>285</v>
      </c>
      <c r="E29" s="7" t="s">
        <v>1997</v>
      </c>
      <c r="F29" s="7" t="s">
        <v>2136</v>
      </c>
      <c r="G29" s="7" t="s">
        <v>2136</v>
      </c>
      <c r="H29" s="7" t="s">
        <v>2137</v>
      </c>
      <c r="I29" s="7" t="s">
        <v>2138</v>
      </c>
      <c r="J29" s="7" t="s">
        <v>2139</v>
      </c>
      <c r="K29" s="7" t="s">
        <v>2133</v>
      </c>
      <c r="L29" s="7" t="s">
        <v>66</v>
      </c>
      <c r="M29" s="7" t="s">
        <v>109</v>
      </c>
      <c r="N29" s="7" t="s">
        <v>2140</v>
      </c>
    </row>
    <row r="30" spans="1:14" ht="30" customHeight="1" x14ac:dyDescent="0.25">
      <c r="A30" s="6" t="s">
        <v>2141</v>
      </c>
      <c r="B30" s="6" t="s">
        <v>1973</v>
      </c>
      <c r="C30" s="7" t="s">
        <v>153</v>
      </c>
      <c r="D30" s="7" t="s">
        <v>154</v>
      </c>
      <c r="E30" s="7" t="s">
        <v>1997</v>
      </c>
      <c r="F30" s="7" t="s">
        <v>2136</v>
      </c>
      <c r="G30" s="7" t="s">
        <v>2136</v>
      </c>
      <c r="H30" s="7" t="s">
        <v>2142</v>
      </c>
      <c r="I30" s="7" t="s">
        <v>2138</v>
      </c>
      <c r="J30" s="7" t="s">
        <v>2143</v>
      </c>
      <c r="K30" s="7" t="s">
        <v>2133</v>
      </c>
      <c r="L30" s="7" t="s">
        <v>66</v>
      </c>
      <c r="M30" s="7" t="s">
        <v>109</v>
      </c>
      <c r="N30" s="7" t="s">
        <v>2144</v>
      </c>
    </row>
    <row r="31" spans="1:14" ht="30" customHeight="1" x14ac:dyDescent="0.25">
      <c r="A31" s="6" t="s">
        <v>2145</v>
      </c>
      <c r="B31" s="6" t="s">
        <v>1973</v>
      </c>
      <c r="C31" s="7" t="s">
        <v>2146</v>
      </c>
      <c r="D31" s="7" t="s">
        <v>1981</v>
      </c>
      <c r="E31" s="7" t="s">
        <v>2118</v>
      </c>
      <c r="F31" s="7" t="s">
        <v>2147</v>
      </c>
      <c r="G31" s="7" t="s">
        <v>1632</v>
      </c>
      <c r="H31" s="7" t="s">
        <v>2070</v>
      </c>
      <c r="I31" s="7" t="s">
        <v>2125</v>
      </c>
      <c r="J31" s="7" t="s">
        <v>2148</v>
      </c>
      <c r="K31" s="7" t="s">
        <v>2149</v>
      </c>
      <c r="L31" s="7" t="s">
        <v>48</v>
      </c>
      <c r="M31" s="7" t="s">
        <v>109</v>
      </c>
      <c r="N31" s="7" t="s">
        <v>2150</v>
      </c>
    </row>
  </sheetData>
  <mergeCells count="2">
    <mergeCell ref="A2:N2"/>
    <mergeCell ref="A1:N1"/>
  </mergeCells>
  <phoneticPr fontId="12" type="noConversion"/>
  <conditionalFormatting sqref="M5:M31">
    <cfRule type="expression" dxfId="8" priority="1">
      <formula>OR(M5="Reviewed",M5="Human-Checked",M5="Human-Revised",M5="Supported")</formula>
    </cfRule>
    <cfRule type="expression" dxfId="7" priority="2">
      <formula>OR(M5="Research",M5="AI-Seeded",M5="Candidate",M5="Lead")</formula>
    </cfRule>
    <cfRule type="expression" dxfId="6" priority="3">
      <formula>OR(M5="Needs Second Source",M5="Needs Local Retrieval",M5="Failed")</formula>
    </cfRule>
  </conditionalFormatting>
  <pageMargins left="0.25" right="0.25" top="0.4" bottom="0.4" header="0.5" footer="0.5"/>
  <pageSetup orientation="landscape"/>
  <headerFooter>
    <oddHeader>&amp;C&amp;BLegal Roles</oddHeader>
    <oddFooter>&amp;LOkinawa NGO / Civic Organization Database&amp;CEnglish presentation edition&amp;RPage &amp;P of &amp;N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B626A"/>
    <pageSetUpPr fitToPage="1"/>
  </sheetPr>
  <dimension ref="A1:I299"/>
  <sheetViews>
    <sheetView showGridLines="0" zoomScale="85" workbookViewId="0">
      <pane ySplit="4" topLeftCell="A5" activePane="bottomLeft" state="frozen"/>
      <selection pane="bottomLeft"/>
    </sheetView>
  </sheetViews>
  <sheetFormatPr defaultRowHeight="14.4" x14ac:dyDescent="0.25"/>
  <cols>
    <col min="1" max="1" width="11" customWidth="1"/>
    <col min="2" max="2" width="35" customWidth="1"/>
    <col min="3" max="3" width="42" customWidth="1"/>
    <col min="4" max="4" width="10" customWidth="1"/>
    <col min="5" max="5" width="16" customWidth="1"/>
    <col min="6" max="6" width="21" customWidth="1"/>
    <col min="7" max="7" width="27" customWidth="1"/>
    <col min="8" max="8" width="42" customWidth="1"/>
    <col min="9" max="9" width="36" customWidth="1"/>
  </cols>
  <sheetData>
    <row r="1" spans="1:9" ht="34.049999999999997" customHeight="1" x14ac:dyDescent="0.25">
      <c r="A1" s="21" t="s">
        <v>2151</v>
      </c>
      <c r="B1" s="11"/>
      <c r="C1" s="11"/>
      <c r="D1" s="11"/>
      <c r="E1" s="11"/>
      <c r="F1" s="11"/>
      <c r="G1" s="11"/>
      <c r="H1" s="11"/>
      <c r="I1" s="11"/>
    </row>
    <row r="2" spans="1:9" ht="31.95" customHeight="1" x14ac:dyDescent="0.25">
      <c r="A2" s="20" t="s">
        <v>2152</v>
      </c>
      <c r="B2" s="11"/>
      <c r="C2" s="11"/>
      <c r="D2" s="11"/>
      <c r="E2" s="11"/>
      <c r="F2" s="11"/>
      <c r="G2" s="11"/>
      <c r="H2" s="11"/>
      <c r="I2" s="11"/>
    </row>
    <row r="4" spans="1:9" ht="34.049999999999997" customHeight="1" x14ac:dyDescent="0.25">
      <c r="A4" s="5" t="s">
        <v>1685</v>
      </c>
      <c r="B4" s="5" t="s">
        <v>2153</v>
      </c>
      <c r="C4" s="5" t="s">
        <v>2154</v>
      </c>
      <c r="D4" s="5" t="s">
        <v>1480</v>
      </c>
      <c r="E4" s="5" t="s">
        <v>38</v>
      </c>
      <c r="F4" s="5" t="s">
        <v>39</v>
      </c>
      <c r="G4" s="5" t="s">
        <v>2155</v>
      </c>
      <c r="H4" s="5" t="s">
        <v>2156</v>
      </c>
      <c r="I4" s="5" t="s">
        <v>2157</v>
      </c>
    </row>
    <row r="5" spans="1:9" ht="30" customHeight="1" x14ac:dyDescent="0.25">
      <c r="A5" s="6" t="s">
        <v>2158</v>
      </c>
      <c r="B5" s="6" t="s">
        <v>2159</v>
      </c>
      <c r="C5" s="7" t="s">
        <v>2160</v>
      </c>
      <c r="D5" s="7">
        <v>2026</v>
      </c>
      <c r="E5" s="7" t="s">
        <v>48</v>
      </c>
      <c r="F5" s="7" t="s">
        <v>49</v>
      </c>
      <c r="G5" s="7" t="s">
        <v>2161</v>
      </c>
      <c r="H5" s="7" t="s">
        <v>2162</v>
      </c>
      <c r="I5" s="9" t="s">
        <v>2163</v>
      </c>
    </row>
    <row r="6" spans="1:9" ht="30" customHeight="1" x14ac:dyDescent="0.25">
      <c r="A6" s="6" t="s">
        <v>2164</v>
      </c>
      <c r="B6" s="6" t="s">
        <v>2165</v>
      </c>
      <c r="C6" s="7" t="s">
        <v>2166</v>
      </c>
      <c r="D6" s="7">
        <v>2026</v>
      </c>
      <c r="E6" s="7" t="s">
        <v>48</v>
      </c>
      <c r="F6" s="7" t="s">
        <v>49</v>
      </c>
      <c r="G6" s="7" t="s">
        <v>2161</v>
      </c>
      <c r="H6" s="7" t="s">
        <v>2167</v>
      </c>
      <c r="I6" s="9" t="s">
        <v>2168</v>
      </c>
    </row>
    <row r="7" spans="1:9" ht="30" customHeight="1" x14ac:dyDescent="0.25">
      <c r="A7" s="6" t="s">
        <v>68</v>
      </c>
      <c r="B7" s="6" t="s">
        <v>2169</v>
      </c>
      <c r="C7" s="7" t="s">
        <v>2170</v>
      </c>
      <c r="D7" s="7">
        <v>2010</v>
      </c>
      <c r="E7" s="7" t="s">
        <v>48</v>
      </c>
      <c r="F7" s="7" t="s">
        <v>49</v>
      </c>
      <c r="G7" s="7" t="s">
        <v>2161</v>
      </c>
      <c r="H7" s="7" t="s">
        <v>2171</v>
      </c>
      <c r="I7" s="9" t="s">
        <v>2172</v>
      </c>
    </row>
    <row r="8" spans="1:9" ht="30" customHeight="1" x14ac:dyDescent="0.25">
      <c r="A8" s="6" t="s">
        <v>74</v>
      </c>
      <c r="B8" s="6" t="s">
        <v>2169</v>
      </c>
      <c r="C8" s="7" t="s">
        <v>2173</v>
      </c>
      <c r="D8" s="7">
        <v>2015</v>
      </c>
      <c r="E8" s="7" t="s">
        <v>48</v>
      </c>
      <c r="F8" s="7" t="s">
        <v>49</v>
      </c>
      <c r="G8" s="7" t="s">
        <v>2161</v>
      </c>
      <c r="H8" s="7" t="s">
        <v>2174</v>
      </c>
      <c r="I8" s="9" t="s">
        <v>2175</v>
      </c>
    </row>
    <row r="9" spans="1:9" ht="30" customHeight="1" x14ac:dyDescent="0.25">
      <c r="A9" s="6" t="s">
        <v>88</v>
      </c>
      <c r="B9" s="6" t="s">
        <v>2169</v>
      </c>
      <c r="C9" s="7" t="s">
        <v>2176</v>
      </c>
      <c r="D9" s="7">
        <v>2015</v>
      </c>
      <c r="E9" s="7" t="s">
        <v>48</v>
      </c>
      <c r="F9" s="7" t="s">
        <v>58</v>
      </c>
      <c r="G9" s="7" t="s">
        <v>2161</v>
      </c>
      <c r="H9" s="7" t="s">
        <v>2177</v>
      </c>
      <c r="I9" s="9" t="s">
        <v>2178</v>
      </c>
    </row>
    <row r="10" spans="1:9" ht="30" customHeight="1" x14ac:dyDescent="0.25">
      <c r="A10" s="6" t="s">
        <v>1540</v>
      </c>
      <c r="B10" s="6" t="s">
        <v>641</v>
      </c>
      <c r="C10" s="7" t="s">
        <v>2179</v>
      </c>
      <c r="D10" s="7">
        <v>2020</v>
      </c>
      <c r="E10" s="7" t="s">
        <v>48</v>
      </c>
      <c r="F10" s="7" t="s">
        <v>49</v>
      </c>
      <c r="G10" s="7" t="s">
        <v>2161</v>
      </c>
      <c r="H10" s="7" t="s">
        <v>2180</v>
      </c>
      <c r="I10" s="9" t="s">
        <v>2181</v>
      </c>
    </row>
    <row r="11" spans="1:9" ht="30" customHeight="1" x14ac:dyDescent="0.25">
      <c r="A11" s="6" t="s">
        <v>2182</v>
      </c>
      <c r="B11" s="6" t="s">
        <v>2183</v>
      </c>
      <c r="C11" s="7" t="s">
        <v>2184</v>
      </c>
      <c r="D11" s="7">
        <v>2020</v>
      </c>
      <c r="E11" s="7" t="s">
        <v>66</v>
      </c>
      <c r="F11" s="7" t="s">
        <v>49</v>
      </c>
      <c r="G11" s="7" t="s">
        <v>2185</v>
      </c>
      <c r="H11" s="7" t="s">
        <v>2186</v>
      </c>
      <c r="I11" s="9" t="s">
        <v>2187</v>
      </c>
    </row>
    <row r="12" spans="1:9" ht="30" customHeight="1" x14ac:dyDescent="0.25">
      <c r="A12" s="6" t="s">
        <v>2188</v>
      </c>
      <c r="B12" s="6" t="s">
        <v>2189</v>
      </c>
      <c r="C12" s="7" t="s">
        <v>2190</v>
      </c>
      <c r="D12" s="7">
        <v>2020</v>
      </c>
      <c r="E12" s="7" t="s">
        <v>66</v>
      </c>
      <c r="F12" s="7" t="s">
        <v>49</v>
      </c>
      <c r="G12" s="7" t="s">
        <v>2161</v>
      </c>
      <c r="H12" s="7" t="s">
        <v>2191</v>
      </c>
      <c r="I12" s="9" t="s">
        <v>2192</v>
      </c>
    </row>
    <row r="13" spans="1:9" ht="30" customHeight="1" x14ac:dyDescent="0.25">
      <c r="A13" s="6" t="s">
        <v>100</v>
      </c>
      <c r="B13" s="6" t="s">
        <v>2193</v>
      </c>
      <c r="C13" s="7" t="s">
        <v>829</v>
      </c>
      <c r="D13" s="7">
        <v>2014</v>
      </c>
      <c r="E13" s="7" t="s">
        <v>48</v>
      </c>
      <c r="F13" s="7" t="s">
        <v>58</v>
      </c>
      <c r="G13" s="7" t="s">
        <v>2161</v>
      </c>
      <c r="H13" s="7" t="s">
        <v>2194</v>
      </c>
      <c r="I13" s="9" t="s">
        <v>2195</v>
      </c>
    </row>
    <row r="14" spans="1:9" ht="30" customHeight="1" x14ac:dyDescent="0.25">
      <c r="A14" s="6" t="s">
        <v>2196</v>
      </c>
      <c r="B14" s="6" t="s">
        <v>2189</v>
      </c>
      <c r="C14" s="7" t="s">
        <v>2197</v>
      </c>
      <c r="D14" s="7">
        <v>2015</v>
      </c>
      <c r="E14" s="7" t="s">
        <v>126</v>
      </c>
      <c r="F14" s="7" t="s">
        <v>58</v>
      </c>
      <c r="G14" s="7" t="s">
        <v>2161</v>
      </c>
      <c r="H14" s="7" t="s">
        <v>2198</v>
      </c>
      <c r="I14" s="9" t="s">
        <v>2199</v>
      </c>
    </row>
    <row r="15" spans="1:9" ht="30" customHeight="1" x14ac:dyDescent="0.25">
      <c r="A15" s="6" t="s">
        <v>2200</v>
      </c>
      <c r="B15" s="6" t="s">
        <v>2189</v>
      </c>
      <c r="C15" s="7" t="s">
        <v>2197</v>
      </c>
      <c r="D15" s="7">
        <v>2015</v>
      </c>
      <c r="E15" s="7" t="s">
        <v>66</v>
      </c>
      <c r="F15" s="7" t="s">
        <v>58</v>
      </c>
      <c r="G15" s="7" t="s">
        <v>2161</v>
      </c>
      <c r="H15" s="7" t="s">
        <v>2198</v>
      </c>
      <c r="I15" s="9" t="s">
        <v>2201</v>
      </c>
    </row>
    <row r="16" spans="1:9" ht="30" customHeight="1" x14ac:dyDescent="0.25">
      <c r="A16" s="6" t="s">
        <v>2202</v>
      </c>
      <c r="B16" s="6" t="s">
        <v>2203</v>
      </c>
      <c r="C16" s="7" t="s">
        <v>2204</v>
      </c>
      <c r="D16" s="7" t="s">
        <v>2205</v>
      </c>
      <c r="E16" s="7" t="s">
        <v>48</v>
      </c>
      <c r="F16" s="7" t="s">
        <v>58</v>
      </c>
      <c r="G16" s="7" t="s">
        <v>2161</v>
      </c>
      <c r="H16" s="7" t="s">
        <v>2198</v>
      </c>
      <c r="I16" s="9" t="s">
        <v>2206</v>
      </c>
    </row>
    <row r="17" spans="1:9" ht="30" customHeight="1" x14ac:dyDescent="0.25">
      <c r="A17" s="6" t="s">
        <v>2207</v>
      </c>
      <c r="B17" s="6" t="s">
        <v>2203</v>
      </c>
      <c r="C17" s="7" t="s">
        <v>2208</v>
      </c>
      <c r="D17" s="7">
        <v>2022</v>
      </c>
      <c r="E17" s="7" t="s">
        <v>48</v>
      </c>
      <c r="F17" s="7" t="s">
        <v>49</v>
      </c>
      <c r="G17" s="7" t="s">
        <v>2161</v>
      </c>
      <c r="H17" s="7" t="s">
        <v>2209</v>
      </c>
      <c r="I17" s="9" t="s">
        <v>2210</v>
      </c>
    </row>
    <row r="18" spans="1:9" ht="30" customHeight="1" x14ac:dyDescent="0.25">
      <c r="A18" s="6" t="s">
        <v>2211</v>
      </c>
      <c r="B18" s="6" t="s">
        <v>2212</v>
      </c>
      <c r="C18" s="7" t="s">
        <v>2213</v>
      </c>
      <c r="D18" s="7">
        <v>2023</v>
      </c>
      <c r="E18" s="7" t="s">
        <v>48</v>
      </c>
      <c r="F18" s="7" t="s">
        <v>49</v>
      </c>
      <c r="G18" s="7" t="s">
        <v>2161</v>
      </c>
      <c r="H18" s="7" t="s">
        <v>2214</v>
      </c>
      <c r="I18" s="9" t="s">
        <v>2215</v>
      </c>
    </row>
    <row r="19" spans="1:9" ht="30" customHeight="1" x14ac:dyDescent="0.25">
      <c r="A19" s="6" t="s">
        <v>133</v>
      </c>
      <c r="B19" s="6" t="s">
        <v>2216</v>
      </c>
      <c r="C19" s="7" t="s">
        <v>2217</v>
      </c>
      <c r="D19" s="7">
        <v>2012</v>
      </c>
      <c r="E19" s="7" t="s">
        <v>126</v>
      </c>
      <c r="F19" s="7" t="s">
        <v>58</v>
      </c>
      <c r="G19" s="7" t="s">
        <v>2161</v>
      </c>
      <c r="H19" s="7" t="s">
        <v>2198</v>
      </c>
      <c r="I19" s="9" t="s">
        <v>2218</v>
      </c>
    </row>
    <row r="20" spans="1:9" ht="30" customHeight="1" x14ac:dyDescent="0.25">
      <c r="A20" s="6" t="s">
        <v>841</v>
      </c>
      <c r="B20" s="6" t="s">
        <v>2189</v>
      </c>
      <c r="C20" s="7" t="s">
        <v>2219</v>
      </c>
      <c r="D20" s="7">
        <v>2016</v>
      </c>
      <c r="E20" s="7" t="s">
        <v>66</v>
      </c>
      <c r="F20" s="7" t="s">
        <v>49</v>
      </c>
      <c r="G20" s="7" t="s">
        <v>2161</v>
      </c>
      <c r="H20" s="7" t="s">
        <v>2220</v>
      </c>
      <c r="I20" s="9" t="s">
        <v>2221</v>
      </c>
    </row>
    <row r="21" spans="1:9" ht="30" customHeight="1" x14ac:dyDescent="0.25">
      <c r="A21" s="6" t="s">
        <v>838</v>
      </c>
      <c r="B21" s="6" t="s">
        <v>2189</v>
      </c>
      <c r="C21" s="7" t="s">
        <v>2190</v>
      </c>
      <c r="D21" s="7">
        <v>2020</v>
      </c>
      <c r="E21" s="7" t="s">
        <v>66</v>
      </c>
      <c r="F21" s="7" t="s">
        <v>49</v>
      </c>
      <c r="G21" s="7" t="s">
        <v>2161</v>
      </c>
      <c r="H21" s="7" t="s">
        <v>2222</v>
      </c>
      <c r="I21" s="9" t="s">
        <v>2223</v>
      </c>
    </row>
    <row r="22" spans="1:9" ht="30" customHeight="1" x14ac:dyDescent="0.25">
      <c r="A22" s="6" t="s">
        <v>1605</v>
      </c>
      <c r="B22" s="6" t="s">
        <v>2189</v>
      </c>
      <c r="C22" s="7" t="s">
        <v>2224</v>
      </c>
      <c r="D22" s="7">
        <v>2019</v>
      </c>
      <c r="E22" s="7" t="s">
        <v>66</v>
      </c>
      <c r="F22" s="7" t="s">
        <v>49</v>
      </c>
      <c r="G22" s="7" t="s">
        <v>2161</v>
      </c>
      <c r="H22" s="7" t="s">
        <v>2225</v>
      </c>
      <c r="I22" s="9" t="s">
        <v>2226</v>
      </c>
    </row>
    <row r="23" spans="1:9" ht="30" customHeight="1" x14ac:dyDescent="0.25">
      <c r="A23" s="6" t="s">
        <v>2227</v>
      </c>
      <c r="B23" s="6" t="s">
        <v>2189</v>
      </c>
      <c r="C23" s="7" t="s">
        <v>2228</v>
      </c>
      <c r="D23" s="7">
        <v>2018</v>
      </c>
      <c r="E23" s="7" t="s">
        <v>126</v>
      </c>
      <c r="F23" s="7" t="s">
        <v>58</v>
      </c>
      <c r="G23" s="7" t="s">
        <v>2161</v>
      </c>
      <c r="H23" s="7" t="s">
        <v>2198</v>
      </c>
      <c r="I23" s="9" t="s">
        <v>2229</v>
      </c>
    </row>
    <row r="24" spans="1:9" ht="30" customHeight="1" x14ac:dyDescent="0.25">
      <c r="A24" s="6" t="s">
        <v>115</v>
      </c>
      <c r="B24" s="6" t="s">
        <v>2189</v>
      </c>
      <c r="C24" s="7" t="s">
        <v>2219</v>
      </c>
      <c r="D24" s="7">
        <v>2016</v>
      </c>
      <c r="E24" s="7" t="s">
        <v>66</v>
      </c>
      <c r="F24" s="7" t="s">
        <v>67</v>
      </c>
      <c r="G24" s="7" t="s">
        <v>2161</v>
      </c>
      <c r="H24" s="7" t="s">
        <v>2230</v>
      </c>
      <c r="I24" s="9" t="s">
        <v>2231</v>
      </c>
    </row>
    <row r="25" spans="1:9" ht="30" customHeight="1" x14ac:dyDescent="0.25">
      <c r="A25" s="6" t="s">
        <v>119</v>
      </c>
      <c r="B25" s="6" t="s">
        <v>2216</v>
      </c>
      <c r="C25" s="7" t="s">
        <v>2232</v>
      </c>
      <c r="D25" s="7">
        <v>2016</v>
      </c>
      <c r="E25" s="7" t="s">
        <v>126</v>
      </c>
      <c r="F25" s="7" t="s">
        <v>49</v>
      </c>
      <c r="G25" s="7" t="s">
        <v>2161</v>
      </c>
      <c r="H25" s="7" t="s">
        <v>2233</v>
      </c>
      <c r="I25" s="9" t="s">
        <v>2234</v>
      </c>
    </row>
    <row r="26" spans="1:9" ht="30" customHeight="1" x14ac:dyDescent="0.25">
      <c r="A26" s="6" t="s">
        <v>142</v>
      </c>
      <c r="B26" s="6" t="s">
        <v>2235</v>
      </c>
      <c r="C26" s="7" t="s">
        <v>2236</v>
      </c>
      <c r="D26" s="7">
        <v>2023</v>
      </c>
      <c r="E26" s="7" t="s">
        <v>48</v>
      </c>
      <c r="F26" s="7" t="s">
        <v>49</v>
      </c>
      <c r="G26" s="7" t="s">
        <v>2161</v>
      </c>
      <c r="H26" s="7" t="s">
        <v>2237</v>
      </c>
      <c r="I26" s="9" t="s">
        <v>2238</v>
      </c>
    </row>
    <row r="27" spans="1:9" ht="30" customHeight="1" x14ac:dyDescent="0.25">
      <c r="A27" s="6" t="s">
        <v>147</v>
      </c>
      <c r="B27" s="6" t="s">
        <v>2189</v>
      </c>
      <c r="C27" s="7" t="s">
        <v>2239</v>
      </c>
      <c r="D27" s="7">
        <v>2022</v>
      </c>
      <c r="E27" s="7" t="s">
        <v>48</v>
      </c>
      <c r="F27" s="7" t="s">
        <v>49</v>
      </c>
      <c r="G27" s="7" t="s">
        <v>2161</v>
      </c>
      <c r="H27" s="7" t="s">
        <v>2240</v>
      </c>
      <c r="I27" s="9" t="s">
        <v>2241</v>
      </c>
    </row>
    <row r="28" spans="1:9" ht="30" customHeight="1" x14ac:dyDescent="0.25">
      <c r="A28" s="6" t="s">
        <v>2242</v>
      </c>
      <c r="B28" s="6" t="s">
        <v>2235</v>
      </c>
      <c r="C28" s="7" t="s">
        <v>2236</v>
      </c>
      <c r="D28" s="7">
        <v>2023</v>
      </c>
      <c r="E28" s="7" t="s">
        <v>126</v>
      </c>
      <c r="F28" s="7" t="s">
        <v>49</v>
      </c>
      <c r="G28" s="7" t="s">
        <v>2161</v>
      </c>
      <c r="H28" s="7" t="s">
        <v>2243</v>
      </c>
      <c r="I28" s="9" t="s">
        <v>2238</v>
      </c>
    </row>
    <row r="29" spans="1:9" ht="30" customHeight="1" x14ac:dyDescent="0.25">
      <c r="A29" s="6" t="s">
        <v>268</v>
      </c>
      <c r="B29" s="6" t="s">
        <v>2244</v>
      </c>
      <c r="C29" s="7" t="s">
        <v>2245</v>
      </c>
      <c r="D29" s="7">
        <v>2019</v>
      </c>
      <c r="E29" s="7" t="s">
        <v>48</v>
      </c>
      <c r="F29" s="7" t="s">
        <v>49</v>
      </c>
      <c r="G29" s="7" t="s">
        <v>2161</v>
      </c>
      <c r="H29" s="7" t="s">
        <v>2198</v>
      </c>
      <c r="I29" s="9" t="s">
        <v>2246</v>
      </c>
    </row>
    <row r="30" spans="1:9" ht="30" customHeight="1" x14ac:dyDescent="0.25">
      <c r="A30" s="6" t="s">
        <v>1031</v>
      </c>
      <c r="B30" s="6" t="s">
        <v>2189</v>
      </c>
      <c r="C30" s="7" t="s">
        <v>2247</v>
      </c>
      <c r="D30" s="7">
        <v>2017</v>
      </c>
      <c r="E30" s="7" t="s">
        <v>66</v>
      </c>
      <c r="F30" s="7" t="s">
        <v>49</v>
      </c>
      <c r="G30" s="7" t="s">
        <v>2161</v>
      </c>
      <c r="H30" s="7" t="s">
        <v>2248</v>
      </c>
      <c r="I30" s="9" t="s">
        <v>2249</v>
      </c>
    </row>
    <row r="31" spans="1:9" ht="30" customHeight="1" x14ac:dyDescent="0.25">
      <c r="A31" s="6" t="s">
        <v>1037</v>
      </c>
      <c r="B31" s="6" t="s">
        <v>2189</v>
      </c>
      <c r="C31" s="7" t="s">
        <v>2219</v>
      </c>
      <c r="D31" s="7">
        <v>2016</v>
      </c>
      <c r="E31" s="7" t="s">
        <v>66</v>
      </c>
      <c r="F31" s="7" t="s">
        <v>49</v>
      </c>
      <c r="G31" s="7" t="s">
        <v>2161</v>
      </c>
      <c r="H31" s="7" t="s">
        <v>2250</v>
      </c>
      <c r="I31" s="9" t="s">
        <v>2251</v>
      </c>
    </row>
    <row r="32" spans="1:9" ht="30" customHeight="1" x14ac:dyDescent="0.25">
      <c r="A32" s="6" t="s">
        <v>308</v>
      </c>
      <c r="B32" s="6" t="s">
        <v>2189</v>
      </c>
      <c r="C32" s="7" t="s">
        <v>2219</v>
      </c>
      <c r="D32" s="7">
        <v>2016</v>
      </c>
      <c r="E32" s="7" t="s">
        <v>66</v>
      </c>
      <c r="F32" s="7" t="s">
        <v>49</v>
      </c>
      <c r="G32" s="7" t="s">
        <v>2161</v>
      </c>
      <c r="H32" s="7" t="s">
        <v>2252</v>
      </c>
      <c r="I32" s="9" t="s">
        <v>2253</v>
      </c>
    </row>
    <row r="33" spans="1:9" ht="30" customHeight="1" x14ac:dyDescent="0.25">
      <c r="A33" s="6" t="s">
        <v>303</v>
      </c>
      <c r="B33" s="6" t="s">
        <v>2216</v>
      </c>
      <c r="C33" s="7" t="s">
        <v>2254</v>
      </c>
      <c r="D33" s="7">
        <v>2015</v>
      </c>
      <c r="E33" s="7" t="s">
        <v>126</v>
      </c>
      <c r="F33" s="7" t="s">
        <v>49</v>
      </c>
      <c r="G33" s="7" t="s">
        <v>2161</v>
      </c>
      <c r="H33" s="7" t="s">
        <v>2255</v>
      </c>
      <c r="I33" s="9" t="s">
        <v>2256</v>
      </c>
    </row>
    <row r="34" spans="1:9" ht="30" customHeight="1" x14ac:dyDescent="0.25">
      <c r="A34" s="6" t="s">
        <v>288</v>
      </c>
      <c r="B34" s="6" t="s">
        <v>2189</v>
      </c>
      <c r="C34" s="7" t="s">
        <v>2197</v>
      </c>
      <c r="D34" s="7">
        <v>2015</v>
      </c>
      <c r="E34" s="7" t="s">
        <v>66</v>
      </c>
      <c r="F34" s="7" t="s">
        <v>49</v>
      </c>
      <c r="G34" s="7" t="s">
        <v>2161</v>
      </c>
      <c r="H34" s="7" t="s">
        <v>2257</v>
      </c>
      <c r="I34" s="9" t="s">
        <v>2258</v>
      </c>
    </row>
    <row r="35" spans="1:9" ht="30" customHeight="1" x14ac:dyDescent="0.25">
      <c r="A35" s="6" t="s">
        <v>251</v>
      </c>
      <c r="B35" s="6" t="s">
        <v>2235</v>
      </c>
      <c r="C35" s="7" t="s">
        <v>2259</v>
      </c>
      <c r="D35" s="7">
        <v>2026</v>
      </c>
      <c r="E35" s="7" t="s">
        <v>66</v>
      </c>
      <c r="F35" s="7" t="s">
        <v>49</v>
      </c>
      <c r="G35" s="7" t="s">
        <v>2161</v>
      </c>
      <c r="H35" s="7" t="s">
        <v>2260</v>
      </c>
      <c r="I35" s="9" t="s">
        <v>2261</v>
      </c>
    </row>
    <row r="36" spans="1:9" ht="30" customHeight="1" x14ac:dyDescent="0.25">
      <c r="A36" s="6" t="s">
        <v>334</v>
      </c>
      <c r="B36" s="6" t="s">
        <v>2235</v>
      </c>
      <c r="C36" s="7" t="s">
        <v>2259</v>
      </c>
      <c r="D36" s="7">
        <v>2026</v>
      </c>
      <c r="E36" s="7" t="s">
        <v>48</v>
      </c>
      <c r="F36" s="7" t="s">
        <v>49</v>
      </c>
      <c r="G36" s="7" t="s">
        <v>2161</v>
      </c>
      <c r="H36" s="7" t="s">
        <v>2262</v>
      </c>
      <c r="I36" s="9" t="s">
        <v>2263</v>
      </c>
    </row>
    <row r="37" spans="1:9" ht="30" customHeight="1" x14ac:dyDescent="0.25">
      <c r="A37" s="6" t="s">
        <v>283</v>
      </c>
      <c r="B37" s="6" t="s">
        <v>2183</v>
      </c>
      <c r="C37" s="7" t="s">
        <v>2264</v>
      </c>
      <c r="D37" s="7">
        <v>2006</v>
      </c>
      <c r="E37" s="7" t="s">
        <v>48</v>
      </c>
      <c r="F37" s="7" t="s">
        <v>49</v>
      </c>
      <c r="G37" s="7" t="s">
        <v>2265</v>
      </c>
      <c r="H37" s="7" t="s">
        <v>2266</v>
      </c>
      <c r="I37" s="9" t="s">
        <v>2267</v>
      </c>
    </row>
    <row r="38" spans="1:9" ht="30" customHeight="1" x14ac:dyDescent="0.25">
      <c r="A38" s="6" t="s">
        <v>296</v>
      </c>
      <c r="B38" s="6" t="s">
        <v>2235</v>
      </c>
      <c r="C38" s="7" t="s">
        <v>2268</v>
      </c>
      <c r="D38" s="7">
        <v>2010</v>
      </c>
      <c r="E38" s="7" t="s">
        <v>66</v>
      </c>
      <c r="F38" s="7" t="s">
        <v>49</v>
      </c>
      <c r="G38" s="7" t="s">
        <v>2161</v>
      </c>
      <c r="H38" s="7" t="s">
        <v>2269</v>
      </c>
      <c r="I38" s="9" t="s">
        <v>2270</v>
      </c>
    </row>
    <row r="39" spans="1:9" ht="30" customHeight="1" x14ac:dyDescent="0.25">
      <c r="A39" s="6" t="s">
        <v>2271</v>
      </c>
      <c r="B39" s="6" t="s">
        <v>2159</v>
      </c>
      <c r="C39" s="7" t="s">
        <v>2160</v>
      </c>
      <c r="D39" s="7">
        <v>2026</v>
      </c>
      <c r="E39" s="7" t="s">
        <v>48</v>
      </c>
      <c r="F39" s="7" t="s">
        <v>49</v>
      </c>
      <c r="G39" s="7" t="s">
        <v>2161</v>
      </c>
      <c r="H39" s="7" t="s">
        <v>2272</v>
      </c>
      <c r="I39" s="9" t="s">
        <v>2273</v>
      </c>
    </row>
    <row r="40" spans="1:9" ht="30" customHeight="1" x14ac:dyDescent="0.25">
      <c r="A40" s="6" t="s">
        <v>330</v>
      </c>
      <c r="B40" s="6" t="s">
        <v>2189</v>
      </c>
      <c r="C40" s="7" t="s">
        <v>2197</v>
      </c>
      <c r="D40" s="7">
        <v>2015</v>
      </c>
      <c r="E40" s="7" t="s">
        <v>66</v>
      </c>
      <c r="F40" s="7" t="s">
        <v>49</v>
      </c>
      <c r="G40" s="7" t="s">
        <v>2161</v>
      </c>
      <c r="H40" s="7" t="s">
        <v>2274</v>
      </c>
      <c r="I40" s="9" t="s">
        <v>2275</v>
      </c>
    </row>
    <row r="41" spans="1:9" ht="30" customHeight="1" x14ac:dyDescent="0.25">
      <c r="A41" s="6" t="s">
        <v>263</v>
      </c>
      <c r="B41" s="6" t="s">
        <v>2169</v>
      </c>
      <c r="C41" s="7" t="s">
        <v>2276</v>
      </c>
      <c r="D41" s="7">
        <v>2017</v>
      </c>
      <c r="E41" s="7" t="s">
        <v>66</v>
      </c>
      <c r="F41" s="7" t="s">
        <v>49</v>
      </c>
      <c r="G41" s="7" t="s">
        <v>2161</v>
      </c>
      <c r="H41" s="7" t="s">
        <v>2277</v>
      </c>
      <c r="I41" s="9" t="s">
        <v>2278</v>
      </c>
    </row>
    <row r="42" spans="1:9" ht="30" customHeight="1" x14ac:dyDescent="0.25">
      <c r="A42" s="6" t="s">
        <v>321</v>
      </c>
      <c r="B42" s="6" t="s">
        <v>2235</v>
      </c>
      <c r="C42" s="7" t="s">
        <v>2279</v>
      </c>
      <c r="D42" s="7">
        <v>1996</v>
      </c>
      <c r="E42" s="7" t="s">
        <v>126</v>
      </c>
      <c r="F42" s="7" t="s">
        <v>49</v>
      </c>
      <c r="G42" s="7" t="s">
        <v>2161</v>
      </c>
      <c r="H42" s="7" t="s">
        <v>2280</v>
      </c>
      <c r="I42" s="9" t="s">
        <v>2281</v>
      </c>
    </row>
    <row r="43" spans="1:9" ht="30" customHeight="1" x14ac:dyDescent="0.25">
      <c r="A43" s="6" t="s">
        <v>258</v>
      </c>
      <c r="B43" s="6" t="s">
        <v>2183</v>
      </c>
      <c r="C43" s="7" t="s">
        <v>2282</v>
      </c>
      <c r="D43" s="7">
        <v>1995</v>
      </c>
      <c r="E43" s="7" t="s">
        <v>66</v>
      </c>
      <c r="F43" s="7" t="s">
        <v>49</v>
      </c>
      <c r="G43" s="7" t="s">
        <v>2161</v>
      </c>
      <c r="H43" s="7" t="s">
        <v>2283</v>
      </c>
      <c r="I43" s="9" t="s">
        <v>2284</v>
      </c>
    </row>
    <row r="44" spans="1:9" ht="30" customHeight="1" x14ac:dyDescent="0.25">
      <c r="A44" s="6" t="s">
        <v>339</v>
      </c>
      <c r="B44" s="6" t="s">
        <v>2285</v>
      </c>
      <c r="C44" s="7" t="s">
        <v>2286</v>
      </c>
      <c r="D44" s="7">
        <v>2015</v>
      </c>
      <c r="E44" s="7" t="s">
        <v>66</v>
      </c>
      <c r="F44" s="7" t="s">
        <v>49</v>
      </c>
      <c r="G44" s="7" t="s">
        <v>2161</v>
      </c>
      <c r="H44" s="7" t="s">
        <v>1088</v>
      </c>
      <c r="I44" s="9" t="s">
        <v>2287</v>
      </c>
    </row>
    <row r="45" spans="1:9" ht="30" customHeight="1" x14ac:dyDescent="0.25">
      <c r="A45" s="6" t="s">
        <v>2288</v>
      </c>
      <c r="B45" s="6" t="s">
        <v>2235</v>
      </c>
      <c r="C45" s="7" t="s">
        <v>2289</v>
      </c>
      <c r="D45" s="7">
        <v>2024</v>
      </c>
      <c r="E45" s="7" t="s">
        <v>48</v>
      </c>
      <c r="F45" s="7" t="s">
        <v>49</v>
      </c>
      <c r="G45" s="7" t="s">
        <v>2161</v>
      </c>
      <c r="H45" s="7" t="s">
        <v>2290</v>
      </c>
      <c r="I45" s="9" t="s">
        <v>2291</v>
      </c>
    </row>
    <row r="46" spans="1:9" ht="30" customHeight="1" x14ac:dyDescent="0.25">
      <c r="A46" s="6" t="s">
        <v>344</v>
      </c>
      <c r="B46" s="6" t="s">
        <v>2212</v>
      </c>
      <c r="C46" s="7" t="s">
        <v>2292</v>
      </c>
      <c r="D46" s="7">
        <v>1997</v>
      </c>
      <c r="E46" s="7" t="s">
        <v>48</v>
      </c>
      <c r="F46" s="7" t="s">
        <v>49</v>
      </c>
      <c r="G46" s="7" t="s">
        <v>2161</v>
      </c>
      <c r="H46" s="7" t="s">
        <v>2293</v>
      </c>
      <c r="I46" s="9" t="s">
        <v>2294</v>
      </c>
    </row>
    <row r="47" spans="1:9" ht="30" customHeight="1" x14ac:dyDescent="0.25">
      <c r="A47" s="6" t="s">
        <v>367</v>
      </c>
      <c r="B47" s="6" t="s">
        <v>2165</v>
      </c>
      <c r="C47" s="7" t="s">
        <v>2295</v>
      </c>
      <c r="D47" s="7">
        <v>2024</v>
      </c>
      <c r="E47" s="7" t="s">
        <v>48</v>
      </c>
      <c r="F47" s="7" t="s">
        <v>49</v>
      </c>
      <c r="G47" s="7" t="s">
        <v>2161</v>
      </c>
      <c r="H47" s="7" t="s">
        <v>2296</v>
      </c>
      <c r="I47" s="9" t="s">
        <v>2297</v>
      </c>
    </row>
    <row r="48" spans="1:9" ht="30" customHeight="1" x14ac:dyDescent="0.25">
      <c r="A48" s="6" t="s">
        <v>2298</v>
      </c>
      <c r="B48" s="6" t="s">
        <v>2183</v>
      </c>
      <c r="C48" s="7" t="s">
        <v>2299</v>
      </c>
      <c r="D48" s="7">
        <v>2007</v>
      </c>
      <c r="E48" s="7" t="s">
        <v>48</v>
      </c>
      <c r="F48" s="7" t="s">
        <v>49</v>
      </c>
      <c r="G48" s="7" t="s">
        <v>2265</v>
      </c>
      <c r="H48" s="7" t="s">
        <v>2300</v>
      </c>
      <c r="I48" s="9" t="s">
        <v>2267</v>
      </c>
    </row>
    <row r="49" spans="1:9" ht="30" customHeight="1" x14ac:dyDescent="0.25">
      <c r="A49" s="6" t="s">
        <v>2301</v>
      </c>
      <c r="B49" s="6" t="s">
        <v>2189</v>
      </c>
      <c r="C49" s="7" t="s">
        <v>2228</v>
      </c>
      <c r="D49" s="7">
        <v>2018</v>
      </c>
      <c r="E49" s="7" t="s">
        <v>48</v>
      </c>
      <c r="F49" s="7" t="s">
        <v>49</v>
      </c>
      <c r="G49" s="7" t="s">
        <v>2161</v>
      </c>
      <c r="H49" s="7" t="s">
        <v>2302</v>
      </c>
      <c r="I49" s="9" t="s">
        <v>2303</v>
      </c>
    </row>
    <row r="50" spans="1:9" ht="30" customHeight="1" x14ac:dyDescent="0.25">
      <c r="A50" s="6" t="s">
        <v>2304</v>
      </c>
      <c r="B50" s="6" t="s">
        <v>2169</v>
      </c>
      <c r="C50" s="7" t="s">
        <v>2305</v>
      </c>
      <c r="D50" s="7">
        <v>2014</v>
      </c>
      <c r="E50" s="7" t="s">
        <v>48</v>
      </c>
      <c r="F50" s="7" t="s">
        <v>49</v>
      </c>
      <c r="G50" s="7" t="s">
        <v>2161</v>
      </c>
      <c r="H50" s="7" t="s">
        <v>2306</v>
      </c>
      <c r="I50" s="9" t="s">
        <v>2307</v>
      </c>
    </row>
    <row r="51" spans="1:9" ht="30" customHeight="1" x14ac:dyDescent="0.25">
      <c r="A51" s="6" t="s">
        <v>348</v>
      </c>
      <c r="B51" s="6" t="s">
        <v>2165</v>
      </c>
      <c r="C51" s="7" t="s">
        <v>2308</v>
      </c>
      <c r="D51" s="7">
        <v>2012</v>
      </c>
      <c r="E51" s="7" t="s">
        <v>48</v>
      </c>
      <c r="F51" s="7" t="s">
        <v>49</v>
      </c>
      <c r="G51" s="7" t="s">
        <v>2161</v>
      </c>
      <c r="H51" s="7" t="s">
        <v>2309</v>
      </c>
      <c r="I51" s="9" t="s">
        <v>2310</v>
      </c>
    </row>
    <row r="52" spans="1:9" ht="30" customHeight="1" x14ac:dyDescent="0.25">
      <c r="A52" s="6" t="s">
        <v>353</v>
      </c>
      <c r="B52" s="6" t="s">
        <v>2235</v>
      </c>
      <c r="C52" s="7" t="s">
        <v>2311</v>
      </c>
      <c r="D52" s="7">
        <v>2024</v>
      </c>
      <c r="E52" s="7" t="s">
        <v>126</v>
      </c>
      <c r="F52" s="7" t="s">
        <v>67</v>
      </c>
      <c r="G52" s="7" t="s">
        <v>2161</v>
      </c>
      <c r="H52" s="7" t="s">
        <v>2312</v>
      </c>
      <c r="I52" s="9" t="s">
        <v>2313</v>
      </c>
    </row>
    <row r="53" spans="1:9" ht="30" customHeight="1" x14ac:dyDescent="0.25">
      <c r="A53" s="6" t="s">
        <v>1646</v>
      </c>
      <c r="B53" s="6" t="s">
        <v>2235</v>
      </c>
      <c r="C53" s="7" t="s">
        <v>2259</v>
      </c>
      <c r="D53" s="7">
        <v>2026</v>
      </c>
      <c r="E53" s="7" t="s">
        <v>48</v>
      </c>
      <c r="F53" s="7" t="s">
        <v>49</v>
      </c>
      <c r="G53" s="7" t="s">
        <v>2161</v>
      </c>
      <c r="H53" s="7" t="s">
        <v>2314</v>
      </c>
      <c r="I53" s="9" t="s">
        <v>2315</v>
      </c>
    </row>
    <row r="54" spans="1:9" ht="30" customHeight="1" x14ac:dyDescent="0.25">
      <c r="A54" s="6" t="s">
        <v>2316</v>
      </c>
      <c r="B54" s="6" t="s">
        <v>2317</v>
      </c>
      <c r="C54" s="7" t="s">
        <v>2318</v>
      </c>
      <c r="D54" s="7">
        <v>2026</v>
      </c>
      <c r="E54" s="7" t="s">
        <v>66</v>
      </c>
      <c r="F54" s="7" t="s">
        <v>49</v>
      </c>
      <c r="G54" s="7" t="s">
        <v>2161</v>
      </c>
      <c r="H54" s="7" t="s">
        <v>2319</v>
      </c>
      <c r="I54" s="9" t="s">
        <v>2320</v>
      </c>
    </row>
    <row r="55" spans="1:9" ht="30" customHeight="1" x14ac:dyDescent="0.25">
      <c r="A55" s="6" t="s">
        <v>2321</v>
      </c>
      <c r="B55" s="6" t="s">
        <v>2235</v>
      </c>
      <c r="C55" s="7" t="s">
        <v>2322</v>
      </c>
      <c r="D55" s="7">
        <v>2024</v>
      </c>
      <c r="E55" s="7" t="s">
        <v>2323</v>
      </c>
      <c r="F55" s="7" t="s">
        <v>2324</v>
      </c>
      <c r="G55" s="7" t="s">
        <v>2161</v>
      </c>
      <c r="H55" s="7" t="s">
        <v>2325</v>
      </c>
      <c r="I55" s="9" t="s">
        <v>2326</v>
      </c>
    </row>
    <row r="56" spans="1:9" ht="30" customHeight="1" x14ac:dyDescent="0.25">
      <c r="A56" s="6" t="s">
        <v>2327</v>
      </c>
      <c r="B56" s="6" t="s">
        <v>2328</v>
      </c>
      <c r="C56" s="7" t="s">
        <v>2329</v>
      </c>
      <c r="D56" s="7">
        <v>2026</v>
      </c>
      <c r="E56" s="7" t="s">
        <v>66</v>
      </c>
      <c r="F56" s="7" t="s">
        <v>49</v>
      </c>
      <c r="G56" s="7" t="s">
        <v>2161</v>
      </c>
      <c r="H56" s="7" t="s">
        <v>2330</v>
      </c>
      <c r="I56" s="9" t="s">
        <v>2331</v>
      </c>
    </row>
    <row r="57" spans="1:9" ht="30" customHeight="1" x14ac:dyDescent="0.25">
      <c r="A57" s="6" t="s">
        <v>1780</v>
      </c>
      <c r="B57" s="6" t="s">
        <v>2332</v>
      </c>
      <c r="C57" s="7" t="s">
        <v>2333</v>
      </c>
      <c r="D57" s="7">
        <v>2025</v>
      </c>
      <c r="E57" s="7" t="s">
        <v>48</v>
      </c>
      <c r="F57" s="7" t="s">
        <v>49</v>
      </c>
      <c r="G57" s="7" t="s">
        <v>2161</v>
      </c>
      <c r="H57" s="7" t="s">
        <v>2334</v>
      </c>
      <c r="I57" s="9" t="s">
        <v>2335</v>
      </c>
    </row>
    <row r="58" spans="1:9" ht="30" customHeight="1" x14ac:dyDescent="0.25">
      <c r="A58" s="6" t="s">
        <v>2336</v>
      </c>
      <c r="B58" s="6" t="s">
        <v>2337</v>
      </c>
      <c r="C58" s="7" t="s">
        <v>2338</v>
      </c>
      <c r="D58" s="7">
        <v>2026</v>
      </c>
      <c r="E58" s="7" t="s">
        <v>48</v>
      </c>
      <c r="F58" s="7" t="s">
        <v>49</v>
      </c>
      <c r="G58" s="7" t="s">
        <v>2161</v>
      </c>
      <c r="H58" s="7" t="s">
        <v>2339</v>
      </c>
      <c r="I58" s="9" t="s">
        <v>2340</v>
      </c>
    </row>
    <row r="59" spans="1:9" ht="30" customHeight="1" x14ac:dyDescent="0.25">
      <c r="A59" s="6" t="s">
        <v>535</v>
      </c>
      <c r="B59" s="6" t="s">
        <v>2235</v>
      </c>
      <c r="C59" s="7" t="s">
        <v>2341</v>
      </c>
      <c r="D59" s="7">
        <v>2026</v>
      </c>
      <c r="E59" s="7" t="s">
        <v>48</v>
      </c>
      <c r="F59" s="7" t="s">
        <v>49</v>
      </c>
      <c r="G59" s="7" t="s">
        <v>2161</v>
      </c>
      <c r="H59" s="7" t="s">
        <v>2342</v>
      </c>
      <c r="I59" s="9" t="s">
        <v>2343</v>
      </c>
    </row>
    <row r="60" spans="1:9" ht="30" customHeight="1" x14ac:dyDescent="0.25">
      <c r="A60" s="6" t="s">
        <v>2344</v>
      </c>
      <c r="B60" s="6" t="s">
        <v>2345</v>
      </c>
      <c r="C60" s="7" t="s">
        <v>2346</v>
      </c>
      <c r="D60" s="7">
        <v>2024</v>
      </c>
      <c r="E60" s="7" t="s">
        <v>48</v>
      </c>
      <c r="F60" s="7" t="s">
        <v>49</v>
      </c>
      <c r="G60" s="7" t="s">
        <v>2161</v>
      </c>
      <c r="H60" s="7" t="s">
        <v>2347</v>
      </c>
      <c r="I60" s="9" t="s">
        <v>2348</v>
      </c>
    </row>
    <row r="61" spans="1:9" ht="30" customHeight="1" x14ac:dyDescent="0.25">
      <c r="A61" s="6" t="s">
        <v>2349</v>
      </c>
      <c r="B61" s="6" t="s">
        <v>2235</v>
      </c>
      <c r="C61" s="7" t="s">
        <v>2259</v>
      </c>
      <c r="D61" s="7">
        <v>2026</v>
      </c>
      <c r="E61" s="7" t="s">
        <v>48</v>
      </c>
      <c r="F61" s="7" t="s">
        <v>49</v>
      </c>
      <c r="G61" s="7" t="s">
        <v>2161</v>
      </c>
      <c r="H61" s="7" t="s">
        <v>2350</v>
      </c>
      <c r="I61" s="9" t="s">
        <v>2351</v>
      </c>
    </row>
    <row r="62" spans="1:9" ht="30" customHeight="1" x14ac:dyDescent="0.25">
      <c r="A62" s="6" t="s">
        <v>2352</v>
      </c>
      <c r="B62" s="6" t="s">
        <v>2353</v>
      </c>
      <c r="C62" s="7" t="s">
        <v>2354</v>
      </c>
      <c r="D62" s="7">
        <v>2026</v>
      </c>
      <c r="E62" s="7" t="s">
        <v>48</v>
      </c>
      <c r="F62" s="7" t="s">
        <v>49</v>
      </c>
      <c r="G62" s="7" t="s">
        <v>2161</v>
      </c>
      <c r="H62" s="7" t="s">
        <v>2355</v>
      </c>
      <c r="I62" s="9" t="s">
        <v>2356</v>
      </c>
    </row>
    <row r="63" spans="1:9" ht="30" customHeight="1" x14ac:dyDescent="0.25">
      <c r="A63" s="6" t="s">
        <v>2357</v>
      </c>
      <c r="B63" s="6" t="s">
        <v>2353</v>
      </c>
      <c r="C63" s="7" t="s">
        <v>2358</v>
      </c>
      <c r="D63" s="7">
        <v>2019</v>
      </c>
      <c r="E63" s="7" t="s">
        <v>48</v>
      </c>
      <c r="F63" s="7" t="s">
        <v>49</v>
      </c>
      <c r="G63" s="7" t="s">
        <v>2161</v>
      </c>
      <c r="H63" s="7" t="s">
        <v>2359</v>
      </c>
      <c r="I63" s="9" t="s">
        <v>2360</v>
      </c>
    </row>
    <row r="64" spans="1:9" ht="30" customHeight="1" x14ac:dyDescent="0.25">
      <c r="A64" s="6" t="s">
        <v>1579</v>
      </c>
      <c r="B64" s="6" t="s">
        <v>2193</v>
      </c>
      <c r="C64" s="7" t="s">
        <v>2361</v>
      </c>
      <c r="D64" s="7">
        <v>2003</v>
      </c>
      <c r="E64" s="7" t="s">
        <v>48</v>
      </c>
      <c r="F64" s="7" t="s">
        <v>49</v>
      </c>
      <c r="G64" s="7" t="s">
        <v>2161</v>
      </c>
      <c r="H64" s="7" t="s">
        <v>2362</v>
      </c>
      <c r="I64" s="9" t="s">
        <v>2363</v>
      </c>
    </row>
    <row r="65" spans="1:9" ht="30" customHeight="1" x14ac:dyDescent="0.25">
      <c r="A65" s="6" t="s">
        <v>1583</v>
      </c>
      <c r="B65" s="6" t="s">
        <v>2364</v>
      </c>
      <c r="C65" s="7" t="s">
        <v>2365</v>
      </c>
      <c r="D65" s="7">
        <v>2018</v>
      </c>
      <c r="E65" s="7" t="s">
        <v>48</v>
      </c>
      <c r="F65" s="7" t="s">
        <v>49</v>
      </c>
      <c r="G65" s="7" t="s">
        <v>2161</v>
      </c>
      <c r="H65" s="7" t="s">
        <v>2366</v>
      </c>
      <c r="I65" s="9" t="s">
        <v>2367</v>
      </c>
    </row>
    <row r="66" spans="1:9" ht="30" customHeight="1" x14ac:dyDescent="0.25">
      <c r="A66" s="6" t="s">
        <v>2016</v>
      </c>
      <c r="B66" s="6" t="s">
        <v>2193</v>
      </c>
      <c r="C66" s="7" t="s">
        <v>2368</v>
      </c>
      <c r="D66" s="7">
        <v>2026</v>
      </c>
      <c r="E66" s="7" t="s">
        <v>48</v>
      </c>
      <c r="F66" s="7" t="s">
        <v>49</v>
      </c>
      <c r="G66" s="7" t="s">
        <v>2161</v>
      </c>
      <c r="H66" s="7" t="s">
        <v>2369</v>
      </c>
      <c r="I66" s="9" t="s">
        <v>2370</v>
      </c>
    </row>
    <row r="67" spans="1:9" ht="30" customHeight="1" x14ac:dyDescent="0.25">
      <c r="A67" s="6" t="s">
        <v>2371</v>
      </c>
      <c r="B67" s="6" t="s">
        <v>2317</v>
      </c>
      <c r="C67" s="7" t="s">
        <v>2318</v>
      </c>
      <c r="D67" s="7">
        <v>2026</v>
      </c>
      <c r="E67" s="7" t="s">
        <v>66</v>
      </c>
      <c r="F67" s="7" t="s">
        <v>49</v>
      </c>
      <c r="G67" s="7" t="s">
        <v>2161</v>
      </c>
      <c r="H67" s="7" t="s">
        <v>2372</v>
      </c>
      <c r="I67" s="9" t="s">
        <v>2373</v>
      </c>
    </row>
    <row r="68" spans="1:9" ht="30" customHeight="1" x14ac:dyDescent="0.25">
      <c r="A68" s="6" t="s">
        <v>827</v>
      </c>
      <c r="B68" s="6" t="s">
        <v>2169</v>
      </c>
      <c r="C68" s="7" t="s">
        <v>2374</v>
      </c>
      <c r="D68" s="7">
        <v>2019</v>
      </c>
      <c r="E68" s="7" t="s">
        <v>66</v>
      </c>
      <c r="F68" s="7" t="s">
        <v>49</v>
      </c>
      <c r="G68" s="7" t="s">
        <v>2161</v>
      </c>
      <c r="H68" s="7" t="s">
        <v>2198</v>
      </c>
      <c r="I68" s="9" t="s">
        <v>2375</v>
      </c>
    </row>
    <row r="69" spans="1:9" ht="30" customHeight="1" x14ac:dyDescent="0.25">
      <c r="A69" s="6" t="s">
        <v>2376</v>
      </c>
      <c r="B69" s="6" t="s">
        <v>2235</v>
      </c>
      <c r="C69" s="7" t="s">
        <v>2259</v>
      </c>
      <c r="D69" s="7">
        <v>2026</v>
      </c>
      <c r="E69" s="7" t="s">
        <v>48</v>
      </c>
      <c r="F69" s="7" t="s">
        <v>49</v>
      </c>
      <c r="G69" s="7" t="s">
        <v>2161</v>
      </c>
      <c r="H69" s="7" t="s">
        <v>2377</v>
      </c>
      <c r="I69" s="9" t="s">
        <v>2378</v>
      </c>
    </row>
    <row r="70" spans="1:9" ht="30" customHeight="1" x14ac:dyDescent="0.25">
      <c r="A70" s="6" t="s">
        <v>2379</v>
      </c>
      <c r="B70" s="6" t="s">
        <v>2380</v>
      </c>
      <c r="C70" s="7" t="s">
        <v>2381</v>
      </c>
      <c r="D70" s="7">
        <v>2015</v>
      </c>
      <c r="E70" s="7" t="s">
        <v>66</v>
      </c>
      <c r="F70" s="7" t="s">
        <v>49</v>
      </c>
      <c r="G70" s="7" t="s">
        <v>2161</v>
      </c>
      <c r="H70" s="7" t="s">
        <v>2382</v>
      </c>
      <c r="I70" s="9" t="s">
        <v>2383</v>
      </c>
    </row>
    <row r="71" spans="1:9" ht="30" customHeight="1" x14ac:dyDescent="0.25">
      <c r="A71" s="6" t="s">
        <v>2384</v>
      </c>
      <c r="B71" s="6" t="s">
        <v>2169</v>
      </c>
      <c r="C71" s="7" t="s">
        <v>2385</v>
      </c>
      <c r="D71" s="7">
        <v>2023</v>
      </c>
      <c r="E71" s="7" t="s">
        <v>66</v>
      </c>
      <c r="F71" s="7" t="s">
        <v>49</v>
      </c>
      <c r="G71" s="7" t="s">
        <v>2161</v>
      </c>
      <c r="H71" s="7" t="s">
        <v>2386</v>
      </c>
      <c r="I71" s="9" t="s">
        <v>2387</v>
      </c>
    </row>
    <row r="72" spans="1:9" ht="30" customHeight="1" x14ac:dyDescent="0.25">
      <c r="A72" s="6" t="s">
        <v>2388</v>
      </c>
      <c r="B72" s="6" t="s">
        <v>2189</v>
      </c>
      <c r="C72" s="7" t="s">
        <v>2389</v>
      </c>
      <c r="D72" s="7">
        <v>2024</v>
      </c>
      <c r="E72" s="7" t="s">
        <v>66</v>
      </c>
      <c r="F72" s="7" t="s">
        <v>49</v>
      </c>
      <c r="G72" s="7" t="s">
        <v>2161</v>
      </c>
      <c r="H72" s="7" t="s">
        <v>2390</v>
      </c>
      <c r="I72" s="9" t="s">
        <v>2391</v>
      </c>
    </row>
    <row r="73" spans="1:9" ht="30" customHeight="1" x14ac:dyDescent="0.25">
      <c r="A73" s="6" t="s">
        <v>1611</v>
      </c>
      <c r="B73" s="6" t="s">
        <v>2285</v>
      </c>
      <c r="C73" s="7" t="s">
        <v>2286</v>
      </c>
      <c r="D73" s="7">
        <v>2015</v>
      </c>
      <c r="E73" s="7" t="s">
        <v>126</v>
      </c>
      <c r="F73" s="7" t="s">
        <v>49</v>
      </c>
      <c r="G73" s="7" t="s">
        <v>2161</v>
      </c>
      <c r="H73" s="7" t="s">
        <v>2392</v>
      </c>
      <c r="I73" s="9" t="s">
        <v>2393</v>
      </c>
    </row>
    <row r="74" spans="1:9" ht="30" customHeight="1" x14ac:dyDescent="0.25">
      <c r="A74" s="6" t="s">
        <v>2394</v>
      </c>
      <c r="B74" s="6" t="s">
        <v>2216</v>
      </c>
      <c r="C74" s="7" t="s">
        <v>2395</v>
      </c>
      <c r="D74" s="7">
        <v>2014</v>
      </c>
      <c r="E74" s="7" t="s">
        <v>126</v>
      </c>
      <c r="F74" s="7" t="s">
        <v>49</v>
      </c>
      <c r="G74" s="7" t="s">
        <v>2161</v>
      </c>
      <c r="H74" s="7" t="s">
        <v>2396</v>
      </c>
      <c r="I74" s="9" t="s">
        <v>2397</v>
      </c>
    </row>
    <row r="75" spans="1:9" ht="30" customHeight="1" x14ac:dyDescent="0.25">
      <c r="A75" s="6" t="s">
        <v>2398</v>
      </c>
      <c r="B75" s="6" t="s">
        <v>2399</v>
      </c>
      <c r="C75" s="7" t="s">
        <v>2400</v>
      </c>
      <c r="D75" s="7" t="s">
        <v>2205</v>
      </c>
      <c r="E75" s="7" t="s">
        <v>66</v>
      </c>
      <c r="F75" s="7" t="s">
        <v>58</v>
      </c>
      <c r="G75" s="7" t="s">
        <v>2161</v>
      </c>
      <c r="H75" s="7" t="s">
        <v>2198</v>
      </c>
      <c r="I75" s="9" t="s">
        <v>2401</v>
      </c>
    </row>
    <row r="76" spans="1:9" ht="30" customHeight="1" x14ac:dyDescent="0.25">
      <c r="A76" s="6" t="s">
        <v>1827</v>
      </c>
      <c r="B76" s="6" t="s">
        <v>2402</v>
      </c>
      <c r="C76" s="7" t="s">
        <v>2403</v>
      </c>
      <c r="D76" s="7">
        <v>2012</v>
      </c>
      <c r="E76" s="7" t="s">
        <v>66</v>
      </c>
      <c r="F76" s="7" t="s">
        <v>49</v>
      </c>
      <c r="G76" s="7" t="s">
        <v>2161</v>
      </c>
      <c r="H76" s="7" t="s">
        <v>2404</v>
      </c>
      <c r="I76" s="9" t="s">
        <v>2405</v>
      </c>
    </row>
    <row r="77" spans="1:9" ht="30" customHeight="1" x14ac:dyDescent="0.25">
      <c r="A77" s="6" t="s">
        <v>2406</v>
      </c>
      <c r="B77" s="6" t="s">
        <v>2407</v>
      </c>
      <c r="C77" s="7" t="s">
        <v>2408</v>
      </c>
      <c r="D77" s="7">
        <v>2026</v>
      </c>
      <c r="E77" s="7" t="s">
        <v>66</v>
      </c>
      <c r="F77" s="7" t="s">
        <v>49</v>
      </c>
      <c r="G77" s="7" t="s">
        <v>2161</v>
      </c>
      <c r="H77" s="7" t="s">
        <v>2409</v>
      </c>
      <c r="I77" s="9" t="s">
        <v>2410</v>
      </c>
    </row>
    <row r="78" spans="1:9" ht="30" customHeight="1" x14ac:dyDescent="0.25">
      <c r="A78" s="6" t="s">
        <v>2411</v>
      </c>
      <c r="B78" s="6" t="s">
        <v>2337</v>
      </c>
      <c r="C78" s="7" t="s">
        <v>2412</v>
      </c>
      <c r="D78" s="7">
        <v>2026</v>
      </c>
      <c r="E78" s="7" t="s">
        <v>66</v>
      </c>
      <c r="F78" s="7" t="s">
        <v>49</v>
      </c>
      <c r="G78" s="7" t="s">
        <v>2413</v>
      </c>
      <c r="H78" s="7" t="s">
        <v>2414</v>
      </c>
      <c r="I78" s="9" t="s">
        <v>2415</v>
      </c>
    </row>
    <row r="79" spans="1:9" ht="30" customHeight="1" x14ac:dyDescent="0.25">
      <c r="A79" s="6" t="s">
        <v>1797</v>
      </c>
      <c r="B79" s="6" t="s">
        <v>2235</v>
      </c>
      <c r="C79" s="7" t="s">
        <v>2416</v>
      </c>
      <c r="D79" s="7">
        <v>2026</v>
      </c>
      <c r="E79" s="7" t="s">
        <v>48</v>
      </c>
      <c r="F79" s="7" t="s">
        <v>49</v>
      </c>
      <c r="G79" s="7" t="s">
        <v>2161</v>
      </c>
      <c r="H79" s="7" t="s">
        <v>2417</v>
      </c>
      <c r="I79" s="9" t="s">
        <v>2418</v>
      </c>
    </row>
    <row r="80" spans="1:9" ht="30" customHeight="1" x14ac:dyDescent="0.25">
      <c r="A80" s="6" t="s">
        <v>2419</v>
      </c>
      <c r="B80" s="6" t="s">
        <v>2337</v>
      </c>
      <c r="C80" s="7" t="s">
        <v>2420</v>
      </c>
      <c r="D80" s="7">
        <v>2026</v>
      </c>
      <c r="E80" s="7" t="s">
        <v>48</v>
      </c>
      <c r="F80" s="7" t="s">
        <v>49</v>
      </c>
      <c r="G80" s="7" t="s">
        <v>2161</v>
      </c>
      <c r="H80" s="7" t="s">
        <v>2421</v>
      </c>
      <c r="I80" s="9" t="s">
        <v>2422</v>
      </c>
    </row>
    <row r="81" spans="1:9" ht="30" customHeight="1" x14ac:dyDescent="0.25">
      <c r="A81" s="6" t="s">
        <v>1802</v>
      </c>
      <c r="B81" s="6" t="s">
        <v>2423</v>
      </c>
      <c r="C81" s="7" t="s">
        <v>2424</v>
      </c>
      <c r="D81" s="7">
        <v>2020</v>
      </c>
      <c r="E81" s="7" t="s">
        <v>66</v>
      </c>
      <c r="F81" s="7" t="s">
        <v>49</v>
      </c>
      <c r="G81" s="7" t="s">
        <v>2161</v>
      </c>
      <c r="H81" s="7" t="s">
        <v>1801</v>
      </c>
      <c r="I81" s="9" t="s">
        <v>2425</v>
      </c>
    </row>
    <row r="82" spans="1:9" ht="30" customHeight="1" x14ac:dyDescent="0.25">
      <c r="A82" s="6" t="s">
        <v>1812</v>
      </c>
      <c r="B82" s="6" t="s">
        <v>2426</v>
      </c>
      <c r="C82" s="7" t="s">
        <v>2427</v>
      </c>
      <c r="D82" s="7">
        <v>2012</v>
      </c>
      <c r="E82" s="7" t="s">
        <v>66</v>
      </c>
      <c r="F82" s="7" t="s">
        <v>49</v>
      </c>
      <c r="G82" s="7" t="s">
        <v>2185</v>
      </c>
      <c r="H82" s="7" t="s">
        <v>2428</v>
      </c>
      <c r="I82" s="9" t="s">
        <v>2429</v>
      </c>
    </row>
    <row r="83" spans="1:9" ht="30" customHeight="1" x14ac:dyDescent="0.25">
      <c r="A83" s="6" t="s">
        <v>2430</v>
      </c>
      <c r="B83" s="6" t="s">
        <v>2235</v>
      </c>
      <c r="C83" s="7" t="s">
        <v>2431</v>
      </c>
      <c r="D83" s="7">
        <v>2026</v>
      </c>
      <c r="E83" s="7" t="s">
        <v>48</v>
      </c>
      <c r="F83" s="7" t="s">
        <v>49</v>
      </c>
      <c r="G83" s="7" t="s">
        <v>2161</v>
      </c>
      <c r="H83" s="7" t="s">
        <v>2432</v>
      </c>
      <c r="I83" s="9" t="s">
        <v>2433</v>
      </c>
    </row>
    <row r="84" spans="1:9" ht="30" customHeight="1" x14ac:dyDescent="0.25">
      <c r="A84" s="6" t="s">
        <v>2434</v>
      </c>
      <c r="B84" s="6" t="s">
        <v>2337</v>
      </c>
      <c r="C84" s="7" t="s">
        <v>2435</v>
      </c>
      <c r="D84" s="7">
        <v>2026</v>
      </c>
      <c r="E84" s="7" t="s">
        <v>48</v>
      </c>
      <c r="F84" s="7" t="s">
        <v>49</v>
      </c>
      <c r="G84" s="7" t="s">
        <v>2161</v>
      </c>
      <c r="H84" s="7" t="s">
        <v>2436</v>
      </c>
      <c r="I84" s="9" t="s">
        <v>2437</v>
      </c>
    </row>
    <row r="85" spans="1:9" ht="30" customHeight="1" x14ac:dyDescent="0.25">
      <c r="A85" s="6" t="s">
        <v>2438</v>
      </c>
      <c r="B85" s="6" t="s">
        <v>2439</v>
      </c>
      <c r="C85" s="7" t="s">
        <v>2440</v>
      </c>
      <c r="D85" s="7">
        <v>2009</v>
      </c>
      <c r="E85" s="7" t="s">
        <v>66</v>
      </c>
      <c r="F85" s="7" t="s">
        <v>49</v>
      </c>
      <c r="G85" s="7" t="s">
        <v>2161</v>
      </c>
      <c r="H85" s="7" t="s">
        <v>2441</v>
      </c>
      <c r="I85" s="9" t="s">
        <v>2442</v>
      </c>
    </row>
    <row r="86" spans="1:9" ht="30" customHeight="1" x14ac:dyDescent="0.25">
      <c r="A86" s="6" t="s">
        <v>2443</v>
      </c>
      <c r="B86" s="6" t="s">
        <v>2345</v>
      </c>
      <c r="C86" s="7" t="s">
        <v>2444</v>
      </c>
      <c r="D86" s="7">
        <v>2024</v>
      </c>
      <c r="E86" s="7" t="s">
        <v>48</v>
      </c>
      <c r="F86" s="7" t="s">
        <v>49</v>
      </c>
      <c r="G86" s="7" t="s">
        <v>2161</v>
      </c>
      <c r="H86" s="7" t="s">
        <v>2445</v>
      </c>
      <c r="I86" s="9" t="s">
        <v>2446</v>
      </c>
    </row>
    <row r="87" spans="1:9" ht="30" customHeight="1" x14ac:dyDescent="0.25">
      <c r="A87" s="6" t="s">
        <v>2447</v>
      </c>
      <c r="B87" s="6" t="s">
        <v>2448</v>
      </c>
      <c r="C87" s="7" t="s">
        <v>2449</v>
      </c>
      <c r="D87" s="7">
        <v>2024</v>
      </c>
      <c r="E87" s="7" t="s">
        <v>66</v>
      </c>
      <c r="F87" s="7" t="s">
        <v>49</v>
      </c>
      <c r="G87" s="7" t="s">
        <v>2161</v>
      </c>
      <c r="H87" s="7" t="s">
        <v>2450</v>
      </c>
      <c r="I87" s="9" t="s">
        <v>2451</v>
      </c>
    </row>
    <row r="88" spans="1:9" ht="30" customHeight="1" x14ac:dyDescent="0.25">
      <c r="A88" s="6" t="s">
        <v>2452</v>
      </c>
      <c r="B88" s="6" t="s">
        <v>2448</v>
      </c>
      <c r="C88" s="7" t="s">
        <v>2453</v>
      </c>
      <c r="D88" s="7">
        <v>2024</v>
      </c>
      <c r="E88" s="7" t="s">
        <v>126</v>
      </c>
      <c r="F88" s="7" t="s">
        <v>49</v>
      </c>
      <c r="G88" s="7" t="s">
        <v>2161</v>
      </c>
      <c r="H88" s="7" t="s">
        <v>2454</v>
      </c>
      <c r="I88" s="9" t="s">
        <v>2455</v>
      </c>
    </row>
    <row r="89" spans="1:9" ht="30" customHeight="1" x14ac:dyDescent="0.25">
      <c r="A89" s="6" t="s">
        <v>2456</v>
      </c>
      <c r="B89" s="6" t="s">
        <v>2457</v>
      </c>
      <c r="C89" s="7" t="s">
        <v>2458</v>
      </c>
      <c r="D89" s="7">
        <v>2025</v>
      </c>
      <c r="E89" s="7" t="s">
        <v>48</v>
      </c>
      <c r="F89" s="7" t="s">
        <v>49</v>
      </c>
      <c r="G89" s="7" t="s">
        <v>2161</v>
      </c>
      <c r="H89" s="7" t="s">
        <v>2459</v>
      </c>
      <c r="I89" s="9" t="s">
        <v>2460</v>
      </c>
    </row>
    <row r="90" spans="1:9" ht="30" customHeight="1" x14ac:dyDescent="0.25">
      <c r="A90" s="6" t="s">
        <v>2461</v>
      </c>
      <c r="B90" s="6" t="s">
        <v>2457</v>
      </c>
      <c r="C90" s="7" t="s">
        <v>2462</v>
      </c>
      <c r="D90" s="7">
        <v>2025</v>
      </c>
      <c r="E90" s="7" t="s">
        <v>48</v>
      </c>
      <c r="F90" s="7" t="s">
        <v>49</v>
      </c>
      <c r="G90" s="7" t="s">
        <v>2161</v>
      </c>
      <c r="H90" s="7" t="s">
        <v>2463</v>
      </c>
      <c r="I90" s="9" t="s">
        <v>2464</v>
      </c>
    </row>
    <row r="91" spans="1:9" ht="30" customHeight="1" x14ac:dyDescent="0.25">
      <c r="A91" s="6" t="s">
        <v>2465</v>
      </c>
      <c r="B91" s="6" t="s">
        <v>2466</v>
      </c>
      <c r="C91" s="7" t="s">
        <v>2467</v>
      </c>
      <c r="D91" s="7">
        <v>2018</v>
      </c>
      <c r="E91" s="7" t="s">
        <v>48</v>
      </c>
      <c r="F91" s="7" t="s">
        <v>49</v>
      </c>
      <c r="G91" s="7" t="s">
        <v>2161</v>
      </c>
      <c r="H91" s="7" t="s">
        <v>2468</v>
      </c>
      <c r="I91" s="9" t="s">
        <v>2469</v>
      </c>
    </row>
    <row r="92" spans="1:9" ht="30" customHeight="1" x14ac:dyDescent="0.25">
      <c r="A92" s="6" t="s">
        <v>2470</v>
      </c>
      <c r="B92" s="6" t="s">
        <v>2235</v>
      </c>
      <c r="C92" s="7" t="s">
        <v>2471</v>
      </c>
      <c r="D92" s="7">
        <v>2026</v>
      </c>
      <c r="E92" s="7" t="s">
        <v>66</v>
      </c>
      <c r="F92" s="7" t="s">
        <v>49</v>
      </c>
      <c r="G92" s="7" t="s">
        <v>2161</v>
      </c>
      <c r="H92" s="7" t="s">
        <v>2472</v>
      </c>
      <c r="I92" s="9" t="s">
        <v>2473</v>
      </c>
    </row>
    <row r="93" spans="1:9" ht="30" customHeight="1" x14ac:dyDescent="0.25">
      <c r="A93" s="6" t="s">
        <v>2474</v>
      </c>
      <c r="B93" s="6" t="s">
        <v>2235</v>
      </c>
      <c r="C93" s="7" t="s">
        <v>2475</v>
      </c>
      <c r="D93" s="7">
        <v>2026</v>
      </c>
      <c r="E93" s="7" t="s">
        <v>48</v>
      </c>
      <c r="F93" s="7" t="s">
        <v>49</v>
      </c>
      <c r="G93" s="7" t="s">
        <v>2161</v>
      </c>
      <c r="H93" s="7" t="s">
        <v>2476</v>
      </c>
      <c r="I93" s="9" t="s">
        <v>2477</v>
      </c>
    </row>
    <row r="94" spans="1:9" ht="30" customHeight="1" x14ac:dyDescent="0.25">
      <c r="A94" s="6" t="s">
        <v>2478</v>
      </c>
      <c r="B94" s="6" t="s">
        <v>2353</v>
      </c>
      <c r="C94" s="7" t="s">
        <v>2479</v>
      </c>
      <c r="D94" s="7">
        <v>2026</v>
      </c>
      <c r="E94" s="7" t="s">
        <v>48</v>
      </c>
      <c r="F94" s="7" t="s">
        <v>49</v>
      </c>
      <c r="G94" s="7" t="s">
        <v>2413</v>
      </c>
      <c r="H94" s="7" t="s">
        <v>2480</v>
      </c>
      <c r="I94" s="9" t="s">
        <v>2481</v>
      </c>
    </row>
    <row r="95" spans="1:9" ht="30" customHeight="1" x14ac:dyDescent="0.25">
      <c r="A95" s="6" t="s">
        <v>2482</v>
      </c>
      <c r="B95" s="6" t="s">
        <v>2353</v>
      </c>
      <c r="C95" s="7" t="s">
        <v>2483</v>
      </c>
      <c r="D95" s="7">
        <v>2026</v>
      </c>
      <c r="E95" s="7" t="s">
        <v>48</v>
      </c>
      <c r="F95" s="7" t="s">
        <v>49</v>
      </c>
      <c r="G95" s="7" t="s">
        <v>2161</v>
      </c>
      <c r="H95" s="7" t="s">
        <v>2484</v>
      </c>
      <c r="I95" s="9" t="s">
        <v>2485</v>
      </c>
    </row>
    <row r="96" spans="1:9" ht="30" customHeight="1" x14ac:dyDescent="0.25">
      <c r="A96" s="6" t="s">
        <v>2486</v>
      </c>
      <c r="B96" s="6" t="s">
        <v>2353</v>
      </c>
      <c r="C96" s="7" t="s">
        <v>2487</v>
      </c>
      <c r="D96" s="7">
        <v>2026</v>
      </c>
      <c r="E96" s="7" t="s">
        <v>48</v>
      </c>
      <c r="F96" s="7" t="s">
        <v>49</v>
      </c>
      <c r="G96" s="7" t="s">
        <v>2413</v>
      </c>
      <c r="H96" s="7" t="s">
        <v>2484</v>
      </c>
      <c r="I96" s="9" t="s">
        <v>2488</v>
      </c>
    </row>
    <row r="97" spans="1:9" ht="30" customHeight="1" x14ac:dyDescent="0.25">
      <c r="A97" s="6" t="s">
        <v>1633</v>
      </c>
      <c r="B97" s="6" t="s">
        <v>2489</v>
      </c>
      <c r="C97" s="7" t="s">
        <v>2490</v>
      </c>
      <c r="D97" s="7">
        <v>2003</v>
      </c>
      <c r="E97" s="7" t="s">
        <v>48</v>
      </c>
      <c r="F97" s="7" t="s">
        <v>49</v>
      </c>
      <c r="G97" s="7" t="s">
        <v>2161</v>
      </c>
      <c r="H97" s="7" t="s">
        <v>2491</v>
      </c>
      <c r="I97" s="9" t="s">
        <v>2492</v>
      </c>
    </row>
    <row r="98" spans="1:9" ht="30" customHeight="1" x14ac:dyDescent="0.25">
      <c r="A98" s="6" t="s">
        <v>1822</v>
      </c>
      <c r="B98" s="6" t="s">
        <v>2402</v>
      </c>
      <c r="C98" s="7" t="s">
        <v>2493</v>
      </c>
      <c r="D98" s="7">
        <v>2015</v>
      </c>
      <c r="E98" s="7" t="s">
        <v>66</v>
      </c>
      <c r="F98" s="7" t="s">
        <v>49</v>
      </c>
      <c r="G98" s="7" t="s">
        <v>2161</v>
      </c>
      <c r="H98" s="7" t="s">
        <v>2494</v>
      </c>
      <c r="I98" s="9" t="s">
        <v>2495</v>
      </c>
    </row>
    <row r="99" spans="1:9" ht="30" customHeight="1" x14ac:dyDescent="0.25">
      <c r="A99" s="6" t="s">
        <v>1737</v>
      </c>
      <c r="B99" s="6" t="s">
        <v>2235</v>
      </c>
      <c r="C99" s="7" t="s">
        <v>2259</v>
      </c>
      <c r="D99" s="7">
        <v>2026</v>
      </c>
      <c r="E99" s="7" t="s">
        <v>48</v>
      </c>
      <c r="F99" s="7" t="s">
        <v>49</v>
      </c>
      <c r="G99" s="7" t="s">
        <v>2161</v>
      </c>
      <c r="H99" s="7" t="s">
        <v>2496</v>
      </c>
      <c r="I99" s="9" t="s">
        <v>2497</v>
      </c>
    </row>
    <row r="100" spans="1:9" ht="30" customHeight="1" x14ac:dyDescent="0.25">
      <c r="A100" s="6" t="s">
        <v>2498</v>
      </c>
      <c r="B100" s="6" t="s">
        <v>2159</v>
      </c>
      <c r="C100" s="7" t="s">
        <v>2499</v>
      </c>
      <c r="D100" s="7">
        <v>2025</v>
      </c>
      <c r="E100" s="7" t="s">
        <v>48</v>
      </c>
      <c r="F100" s="7" t="s">
        <v>49</v>
      </c>
      <c r="G100" s="7" t="s">
        <v>2413</v>
      </c>
      <c r="H100" s="7" t="s">
        <v>2500</v>
      </c>
      <c r="I100" s="9" t="s">
        <v>2501</v>
      </c>
    </row>
    <row r="101" spans="1:9" ht="30" customHeight="1" x14ac:dyDescent="0.25">
      <c r="A101" s="6" t="s">
        <v>1856</v>
      </c>
      <c r="B101" s="6" t="s">
        <v>2235</v>
      </c>
      <c r="C101" s="7" t="s">
        <v>2502</v>
      </c>
      <c r="D101" s="7">
        <v>2026</v>
      </c>
      <c r="E101" s="7" t="s">
        <v>48</v>
      </c>
      <c r="F101" s="7" t="s">
        <v>49</v>
      </c>
      <c r="G101" s="7" t="s">
        <v>2161</v>
      </c>
      <c r="H101" s="7" t="s">
        <v>2503</v>
      </c>
      <c r="I101" s="9" t="s">
        <v>2504</v>
      </c>
    </row>
    <row r="102" spans="1:9" ht="30" customHeight="1" x14ac:dyDescent="0.25">
      <c r="A102" s="6" t="s">
        <v>2505</v>
      </c>
      <c r="B102" s="6" t="s">
        <v>2332</v>
      </c>
      <c r="C102" s="7" t="s">
        <v>2506</v>
      </c>
      <c r="D102" s="7">
        <v>2026</v>
      </c>
      <c r="E102" s="7" t="s">
        <v>48</v>
      </c>
      <c r="F102" s="7" t="s">
        <v>49</v>
      </c>
      <c r="G102" s="7" t="s">
        <v>2161</v>
      </c>
      <c r="H102" s="7" t="s">
        <v>2507</v>
      </c>
      <c r="I102" s="9" t="s">
        <v>2508</v>
      </c>
    </row>
    <row r="103" spans="1:9" ht="30" customHeight="1" x14ac:dyDescent="0.25">
      <c r="A103" s="6" t="s">
        <v>2509</v>
      </c>
      <c r="B103" s="6" t="s">
        <v>2510</v>
      </c>
      <c r="C103" s="7" t="s">
        <v>2511</v>
      </c>
      <c r="D103" s="7">
        <v>2025</v>
      </c>
      <c r="E103" s="7" t="s">
        <v>48</v>
      </c>
      <c r="F103" s="7" t="s">
        <v>49</v>
      </c>
      <c r="G103" s="7" t="s">
        <v>2161</v>
      </c>
      <c r="H103" s="7" t="s">
        <v>2512</v>
      </c>
      <c r="I103" s="9" t="s">
        <v>2513</v>
      </c>
    </row>
    <row r="104" spans="1:9" ht="30" customHeight="1" x14ac:dyDescent="0.25">
      <c r="A104" s="6" t="s">
        <v>2514</v>
      </c>
      <c r="B104" s="6" t="s">
        <v>2515</v>
      </c>
      <c r="C104" s="7" t="s">
        <v>2516</v>
      </c>
      <c r="D104" s="7">
        <v>2020</v>
      </c>
      <c r="E104" s="7" t="s">
        <v>48</v>
      </c>
      <c r="F104" s="7" t="s">
        <v>49</v>
      </c>
      <c r="G104" s="7" t="s">
        <v>2161</v>
      </c>
      <c r="H104" s="7" t="s">
        <v>2517</v>
      </c>
      <c r="I104" s="9" t="s">
        <v>2518</v>
      </c>
    </row>
    <row r="105" spans="1:9" ht="30" customHeight="1" x14ac:dyDescent="0.25">
      <c r="A105" s="6" t="s">
        <v>2519</v>
      </c>
      <c r="B105" s="6" t="s">
        <v>2159</v>
      </c>
      <c r="C105" s="7" t="s">
        <v>2160</v>
      </c>
      <c r="D105" s="7">
        <v>2026</v>
      </c>
      <c r="E105" s="7" t="s">
        <v>48</v>
      </c>
      <c r="F105" s="7" t="s">
        <v>49</v>
      </c>
      <c r="G105" s="7" t="s">
        <v>2413</v>
      </c>
      <c r="H105" s="7" t="s">
        <v>2520</v>
      </c>
      <c r="I105" s="9" t="s">
        <v>2521</v>
      </c>
    </row>
    <row r="106" spans="1:9" ht="30" customHeight="1" x14ac:dyDescent="0.25">
      <c r="A106" s="6" t="s">
        <v>1871</v>
      </c>
      <c r="B106" s="6" t="s">
        <v>2402</v>
      </c>
      <c r="C106" s="7" t="s">
        <v>2522</v>
      </c>
      <c r="D106" s="7">
        <v>2025</v>
      </c>
      <c r="E106" s="7" t="s">
        <v>66</v>
      </c>
      <c r="F106" s="7" t="s">
        <v>49</v>
      </c>
      <c r="G106" s="7" t="s">
        <v>2161</v>
      </c>
      <c r="H106" s="7" t="s">
        <v>2523</v>
      </c>
      <c r="I106" s="9" t="s">
        <v>2524</v>
      </c>
    </row>
    <row r="107" spans="1:9" ht="30" customHeight="1" x14ac:dyDescent="0.25">
      <c r="A107" s="6" t="s">
        <v>384</v>
      </c>
      <c r="B107" s="6" t="s">
        <v>2159</v>
      </c>
      <c r="C107" s="7" t="s">
        <v>2160</v>
      </c>
      <c r="D107" s="7">
        <v>2026</v>
      </c>
      <c r="E107" s="7" t="s">
        <v>48</v>
      </c>
      <c r="F107" s="7" t="s">
        <v>49</v>
      </c>
      <c r="G107" s="7" t="s">
        <v>2161</v>
      </c>
      <c r="H107" s="7" t="s">
        <v>2198</v>
      </c>
      <c r="I107" s="9" t="s">
        <v>2525</v>
      </c>
    </row>
    <row r="108" spans="1:9" ht="30" customHeight="1" x14ac:dyDescent="0.25">
      <c r="A108" s="6" t="s">
        <v>389</v>
      </c>
      <c r="B108" s="6" t="s">
        <v>2159</v>
      </c>
      <c r="C108" s="7" t="s">
        <v>2160</v>
      </c>
      <c r="D108" s="7">
        <v>2026</v>
      </c>
      <c r="E108" s="7" t="s">
        <v>48</v>
      </c>
      <c r="F108" s="7" t="s">
        <v>49</v>
      </c>
      <c r="G108" s="7" t="s">
        <v>2413</v>
      </c>
      <c r="H108" s="7" t="s">
        <v>2198</v>
      </c>
      <c r="I108" s="9" t="s">
        <v>2526</v>
      </c>
    </row>
    <row r="109" spans="1:9" ht="30" customHeight="1" x14ac:dyDescent="0.25">
      <c r="A109" s="6" t="s">
        <v>395</v>
      </c>
      <c r="B109" s="6" t="s">
        <v>2235</v>
      </c>
      <c r="C109" s="7" t="s">
        <v>2259</v>
      </c>
      <c r="D109" s="7">
        <v>2026</v>
      </c>
      <c r="E109" s="7" t="s">
        <v>48</v>
      </c>
      <c r="F109" s="7" t="s">
        <v>49</v>
      </c>
      <c r="G109" s="7" t="s">
        <v>2161</v>
      </c>
      <c r="H109" s="7" t="s">
        <v>2198</v>
      </c>
      <c r="I109" s="9" t="s">
        <v>2527</v>
      </c>
    </row>
    <row r="110" spans="1:9" ht="30" customHeight="1" x14ac:dyDescent="0.25">
      <c r="A110" s="6" t="s">
        <v>399</v>
      </c>
      <c r="B110" s="6" t="s">
        <v>2235</v>
      </c>
      <c r="C110" s="7" t="s">
        <v>2259</v>
      </c>
      <c r="D110" s="7">
        <v>2026</v>
      </c>
      <c r="E110" s="7" t="s">
        <v>48</v>
      </c>
      <c r="F110" s="7" t="s">
        <v>49</v>
      </c>
      <c r="G110" s="7" t="s">
        <v>2161</v>
      </c>
      <c r="H110" s="7" t="s">
        <v>2198</v>
      </c>
      <c r="I110" s="9" t="s">
        <v>2528</v>
      </c>
    </row>
    <row r="111" spans="1:9" ht="30" customHeight="1" x14ac:dyDescent="0.25">
      <c r="A111" s="6" t="s">
        <v>2529</v>
      </c>
      <c r="B111" s="6" t="s">
        <v>2235</v>
      </c>
      <c r="C111" s="7" t="s">
        <v>2259</v>
      </c>
      <c r="D111" s="7">
        <v>2026</v>
      </c>
      <c r="E111" s="7" t="s">
        <v>48</v>
      </c>
      <c r="F111" s="7" t="s">
        <v>49</v>
      </c>
      <c r="G111" s="7" t="s">
        <v>2161</v>
      </c>
      <c r="H111" s="7" t="s">
        <v>2198</v>
      </c>
      <c r="I111" s="9" t="s">
        <v>2530</v>
      </c>
    </row>
    <row r="112" spans="1:9" ht="30" customHeight="1" x14ac:dyDescent="0.25">
      <c r="A112" s="6" t="s">
        <v>1271</v>
      </c>
      <c r="B112" s="6" t="s">
        <v>2531</v>
      </c>
      <c r="C112" s="7" t="s">
        <v>2532</v>
      </c>
      <c r="D112" s="7">
        <v>2026</v>
      </c>
      <c r="E112" s="7" t="s">
        <v>48</v>
      </c>
      <c r="F112" s="7" t="s">
        <v>49</v>
      </c>
      <c r="G112" s="7" t="s">
        <v>2161</v>
      </c>
      <c r="H112" s="7" t="s">
        <v>2198</v>
      </c>
      <c r="I112" s="9" t="s">
        <v>2533</v>
      </c>
    </row>
    <row r="113" spans="1:9" ht="30" customHeight="1" x14ac:dyDescent="0.25">
      <c r="A113" s="6" t="s">
        <v>408</v>
      </c>
      <c r="B113" s="6" t="s">
        <v>2235</v>
      </c>
      <c r="C113" s="7" t="s">
        <v>2259</v>
      </c>
      <c r="D113" s="7">
        <v>2026</v>
      </c>
      <c r="E113" s="7" t="s">
        <v>48</v>
      </c>
      <c r="F113" s="7" t="s">
        <v>49</v>
      </c>
      <c r="G113" s="7" t="s">
        <v>2161</v>
      </c>
      <c r="H113" s="7" t="s">
        <v>2198</v>
      </c>
      <c r="I113" s="9" t="s">
        <v>2534</v>
      </c>
    </row>
    <row r="114" spans="1:9" ht="30" customHeight="1" x14ac:dyDescent="0.25">
      <c r="A114" s="6" t="s">
        <v>412</v>
      </c>
      <c r="B114" s="6" t="s">
        <v>2235</v>
      </c>
      <c r="C114" s="7" t="s">
        <v>2259</v>
      </c>
      <c r="D114" s="7">
        <v>2026</v>
      </c>
      <c r="E114" s="7" t="s">
        <v>48</v>
      </c>
      <c r="F114" s="7" t="s">
        <v>49</v>
      </c>
      <c r="G114" s="7" t="s">
        <v>2161</v>
      </c>
      <c r="H114" s="7" t="s">
        <v>2198</v>
      </c>
      <c r="I114" s="9" t="s">
        <v>2535</v>
      </c>
    </row>
    <row r="115" spans="1:9" ht="30" customHeight="1" x14ac:dyDescent="0.25">
      <c r="A115" s="6" t="s">
        <v>2536</v>
      </c>
      <c r="B115" s="6" t="s">
        <v>2235</v>
      </c>
      <c r="C115" s="7" t="s">
        <v>2259</v>
      </c>
      <c r="D115" s="7">
        <v>2026</v>
      </c>
      <c r="E115" s="7" t="s">
        <v>48</v>
      </c>
      <c r="F115" s="7" t="s">
        <v>49</v>
      </c>
      <c r="G115" s="7" t="s">
        <v>2161</v>
      </c>
      <c r="H115" s="7" t="s">
        <v>2198</v>
      </c>
      <c r="I115" s="9" t="s">
        <v>2537</v>
      </c>
    </row>
    <row r="116" spans="1:9" ht="30" customHeight="1" x14ac:dyDescent="0.25">
      <c r="A116" s="6" t="s">
        <v>420</v>
      </c>
      <c r="B116" s="6" t="s">
        <v>2538</v>
      </c>
      <c r="C116" s="7" t="s">
        <v>2539</v>
      </c>
      <c r="D116" s="7">
        <v>2026</v>
      </c>
      <c r="E116" s="7" t="s">
        <v>48</v>
      </c>
      <c r="F116" s="7" t="s">
        <v>49</v>
      </c>
      <c r="G116" s="7" t="s">
        <v>2161</v>
      </c>
      <c r="H116" s="7" t="s">
        <v>2198</v>
      </c>
      <c r="I116" s="9" t="s">
        <v>2540</v>
      </c>
    </row>
    <row r="117" spans="1:9" ht="30" customHeight="1" x14ac:dyDescent="0.25">
      <c r="A117" s="6" t="s">
        <v>2541</v>
      </c>
      <c r="B117" s="6" t="s">
        <v>2189</v>
      </c>
      <c r="C117" s="7" t="s">
        <v>2542</v>
      </c>
      <c r="D117" s="7">
        <v>2026</v>
      </c>
      <c r="E117" s="7" t="s">
        <v>48</v>
      </c>
      <c r="F117" s="7" t="s">
        <v>49</v>
      </c>
      <c r="G117" s="7" t="s">
        <v>2161</v>
      </c>
      <c r="H117" s="7" t="s">
        <v>2198</v>
      </c>
      <c r="I117" s="9" t="s">
        <v>2543</v>
      </c>
    </row>
    <row r="118" spans="1:9" ht="30" customHeight="1" x14ac:dyDescent="0.25">
      <c r="A118" s="6" t="s">
        <v>424</v>
      </c>
      <c r="B118" s="6" t="s">
        <v>2235</v>
      </c>
      <c r="C118" s="7" t="s">
        <v>2544</v>
      </c>
      <c r="D118" s="7" t="s">
        <v>2205</v>
      </c>
      <c r="E118" s="7" t="s">
        <v>48</v>
      </c>
      <c r="F118" s="7" t="s">
        <v>58</v>
      </c>
      <c r="G118" s="7" t="s">
        <v>2161</v>
      </c>
      <c r="H118" s="7" t="s">
        <v>2198</v>
      </c>
      <c r="I118" s="9" t="s">
        <v>2545</v>
      </c>
    </row>
    <row r="119" spans="1:9" ht="30" customHeight="1" x14ac:dyDescent="0.25">
      <c r="A119" s="6" t="s">
        <v>428</v>
      </c>
      <c r="B119" s="6" t="s">
        <v>2235</v>
      </c>
      <c r="C119" s="7" t="s">
        <v>2259</v>
      </c>
      <c r="D119" s="7">
        <v>2026</v>
      </c>
      <c r="E119" s="7" t="s">
        <v>48</v>
      </c>
      <c r="F119" s="7" t="s">
        <v>58</v>
      </c>
      <c r="G119" s="7" t="s">
        <v>2161</v>
      </c>
      <c r="H119" s="7" t="s">
        <v>2198</v>
      </c>
      <c r="I119" s="9" t="s">
        <v>2546</v>
      </c>
    </row>
    <row r="120" spans="1:9" ht="30" customHeight="1" x14ac:dyDescent="0.25">
      <c r="A120" s="6" t="s">
        <v>1303</v>
      </c>
      <c r="B120" s="6" t="s">
        <v>2235</v>
      </c>
      <c r="C120" s="7" t="s">
        <v>2259</v>
      </c>
      <c r="D120" s="7">
        <v>2026</v>
      </c>
      <c r="E120" s="7" t="s">
        <v>48</v>
      </c>
      <c r="F120" s="7" t="s">
        <v>49</v>
      </c>
      <c r="G120" s="7" t="s">
        <v>2161</v>
      </c>
      <c r="H120" s="7" t="s">
        <v>2198</v>
      </c>
      <c r="I120" s="9" t="s">
        <v>2547</v>
      </c>
    </row>
    <row r="121" spans="1:9" ht="30" customHeight="1" x14ac:dyDescent="0.25">
      <c r="A121" s="6" t="s">
        <v>2548</v>
      </c>
      <c r="B121" s="6" t="s">
        <v>2549</v>
      </c>
      <c r="C121" s="7" t="s">
        <v>2550</v>
      </c>
      <c r="D121" s="7">
        <v>2026</v>
      </c>
      <c r="E121" s="7" t="s">
        <v>48</v>
      </c>
      <c r="F121" s="7" t="s">
        <v>49</v>
      </c>
      <c r="G121" s="7" t="s">
        <v>2413</v>
      </c>
      <c r="H121" s="7" t="s">
        <v>2198</v>
      </c>
      <c r="I121" s="9" t="s">
        <v>2551</v>
      </c>
    </row>
    <row r="122" spans="1:9" ht="30" customHeight="1" x14ac:dyDescent="0.25">
      <c r="A122" s="6" t="s">
        <v>2552</v>
      </c>
      <c r="B122" s="6" t="s">
        <v>2538</v>
      </c>
      <c r="C122" s="7" t="s">
        <v>2539</v>
      </c>
      <c r="D122" s="7">
        <v>2026</v>
      </c>
      <c r="E122" s="7" t="s">
        <v>48</v>
      </c>
      <c r="F122" s="7" t="s">
        <v>49</v>
      </c>
      <c r="G122" s="7" t="s">
        <v>2161</v>
      </c>
      <c r="H122" s="7" t="s">
        <v>2198</v>
      </c>
      <c r="I122" s="9" t="s">
        <v>2553</v>
      </c>
    </row>
    <row r="123" spans="1:9" ht="30" customHeight="1" x14ac:dyDescent="0.25">
      <c r="A123" s="6" t="s">
        <v>1315</v>
      </c>
      <c r="B123" s="6" t="s">
        <v>2189</v>
      </c>
      <c r="C123" s="7" t="s">
        <v>2542</v>
      </c>
      <c r="D123" s="7">
        <v>2026</v>
      </c>
      <c r="E123" s="7" t="s">
        <v>48</v>
      </c>
      <c r="F123" s="7" t="s">
        <v>49</v>
      </c>
      <c r="G123" s="7" t="s">
        <v>2413</v>
      </c>
      <c r="H123" s="7" t="s">
        <v>2198</v>
      </c>
      <c r="I123" s="9" t="s">
        <v>2554</v>
      </c>
    </row>
    <row r="124" spans="1:9" ht="30" customHeight="1" x14ac:dyDescent="0.25">
      <c r="A124" s="6" t="s">
        <v>443</v>
      </c>
      <c r="B124" s="6" t="s">
        <v>2235</v>
      </c>
      <c r="C124" s="7" t="s">
        <v>2259</v>
      </c>
      <c r="D124" s="7">
        <v>2026</v>
      </c>
      <c r="E124" s="7" t="s">
        <v>48</v>
      </c>
      <c r="F124" s="7" t="s">
        <v>49</v>
      </c>
      <c r="G124" s="7" t="s">
        <v>2413</v>
      </c>
      <c r="H124" s="7" t="s">
        <v>2198</v>
      </c>
      <c r="I124" s="9" t="s">
        <v>2555</v>
      </c>
    </row>
    <row r="125" spans="1:9" ht="30" customHeight="1" x14ac:dyDescent="0.25">
      <c r="A125" s="6" t="s">
        <v>449</v>
      </c>
      <c r="B125" s="6" t="s">
        <v>2235</v>
      </c>
      <c r="C125" s="7" t="s">
        <v>2259</v>
      </c>
      <c r="D125" s="7">
        <v>2026</v>
      </c>
      <c r="E125" s="7" t="s">
        <v>48</v>
      </c>
      <c r="F125" s="7" t="s">
        <v>49</v>
      </c>
      <c r="G125" s="7" t="s">
        <v>2161</v>
      </c>
      <c r="H125" s="7" t="s">
        <v>2198</v>
      </c>
      <c r="I125" s="9" t="s">
        <v>2556</v>
      </c>
    </row>
    <row r="126" spans="1:9" ht="30" customHeight="1" x14ac:dyDescent="0.25">
      <c r="A126" s="6" t="s">
        <v>2557</v>
      </c>
      <c r="B126" s="6" t="s">
        <v>2558</v>
      </c>
      <c r="C126" s="7" t="s">
        <v>2559</v>
      </c>
      <c r="D126" s="7">
        <v>2026</v>
      </c>
      <c r="E126" s="7" t="s">
        <v>48</v>
      </c>
      <c r="F126" s="7" t="s">
        <v>49</v>
      </c>
      <c r="G126" s="7" t="s">
        <v>2161</v>
      </c>
      <c r="H126" s="7" t="s">
        <v>2198</v>
      </c>
      <c r="I126" s="9" t="s">
        <v>2560</v>
      </c>
    </row>
    <row r="127" spans="1:9" ht="30" customHeight="1" x14ac:dyDescent="0.25">
      <c r="A127" s="6" t="s">
        <v>2561</v>
      </c>
      <c r="B127" s="6" t="s">
        <v>2562</v>
      </c>
      <c r="C127" s="7" t="s">
        <v>2563</v>
      </c>
      <c r="D127" s="7">
        <v>2026</v>
      </c>
      <c r="E127" s="7" t="s">
        <v>48</v>
      </c>
      <c r="F127" s="7" t="s">
        <v>49</v>
      </c>
      <c r="G127" s="7" t="s">
        <v>2161</v>
      </c>
      <c r="H127" s="7" t="s">
        <v>2198</v>
      </c>
      <c r="I127" s="9" t="s">
        <v>2564</v>
      </c>
    </row>
    <row r="128" spans="1:9" ht="30" customHeight="1" x14ac:dyDescent="0.25">
      <c r="A128" s="6" t="s">
        <v>459</v>
      </c>
      <c r="B128" s="6" t="s">
        <v>2565</v>
      </c>
      <c r="C128" s="7" t="s">
        <v>2566</v>
      </c>
      <c r="D128" s="7">
        <v>2026</v>
      </c>
      <c r="E128" s="7" t="s">
        <v>48</v>
      </c>
      <c r="F128" s="7" t="s">
        <v>49</v>
      </c>
      <c r="G128" s="7" t="s">
        <v>2161</v>
      </c>
      <c r="H128" s="7" t="s">
        <v>2198</v>
      </c>
      <c r="I128" s="9" t="s">
        <v>2567</v>
      </c>
    </row>
    <row r="129" spans="1:9" ht="30" customHeight="1" x14ac:dyDescent="0.25">
      <c r="A129" s="6" t="s">
        <v>464</v>
      </c>
      <c r="B129" s="6" t="s">
        <v>2568</v>
      </c>
      <c r="C129" s="7" t="s">
        <v>2569</v>
      </c>
      <c r="D129" s="7">
        <v>2026</v>
      </c>
      <c r="E129" s="7" t="s">
        <v>48</v>
      </c>
      <c r="F129" s="7" t="s">
        <v>49</v>
      </c>
      <c r="G129" s="7" t="s">
        <v>2161</v>
      </c>
      <c r="H129" s="7" t="s">
        <v>2198</v>
      </c>
      <c r="I129" s="9" t="s">
        <v>2570</v>
      </c>
    </row>
    <row r="130" spans="1:9" ht="30" customHeight="1" x14ac:dyDescent="0.25">
      <c r="A130" s="6" t="s">
        <v>1882</v>
      </c>
      <c r="B130" s="6" t="s">
        <v>2235</v>
      </c>
      <c r="C130" s="7" t="s">
        <v>2259</v>
      </c>
      <c r="D130" s="7">
        <v>2026</v>
      </c>
      <c r="E130" s="7" t="s">
        <v>48</v>
      </c>
      <c r="F130" s="7" t="s">
        <v>49</v>
      </c>
      <c r="G130" s="7" t="s">
        <v>2161</v>
      </c>
      <c r="H130" s="7" t="s">
        <v>2198</v>
      </c>
      <c r="I130" s="9" t="s">
        <v>2571</v>
      </c>
    </row>
    <row r="131" spans="1:9" ht="30" customHeight="1" x14ac:dyDescent="0.25">
      <c r="A131" s="6" t="s">
        <v>1886</v>
      </c>
      <c r="B131" s="6" t="s">
        <v>2572</v>
      </c>
      <c r="C131" s="7" t="s">
        <v>2573</v>
      </c>
      <c r="D131" s="7">
        <v>2026</v>
      </c>
      <c r="E131" s="7" t="s">
        <v>48</v>
      </c>
      <c r="F131" s="7" t="s">
        <v>49</v>
      </c>
      <c r="G131" s="7" t="s">
        <v>2161</v>
      </c>
      <c r="H131" s="7" t="s">
        <v>2198</v>
      </c>
      <c r="I131" s="9" t="s">
        <v>2574</v>
      </c>
    </row>
    <row r="132" spans="1:9" ht="30" customHeight="1" x14ac:dyDescent="0.25">
      <c r="A132" s="6" t="s">
        <v>2004</v>
      </c>
      <c r="B132" s="6" t="s">
        <v>2489</v>
      </c>
      <c r="C132" s="7" t="s">
        <v>2575</v>
      </c>
      <c r="D132" s="7">
        <v>2017</v>
      </c>
      <c r="E132" s="7" t="s">
        <v>48</v>
      </c>
      <c r="F132" s="7" t="s">
        <v>49</v>
      </c>
      <c r="G132" s="7" t="s">
        <v>2161</v>
      </c>
      <c r="H132" s="7" t="s">
        <v>2576</v>
      </c>
      <c r="I132" s="9" t="s">
        <v>2577</v>
      </c>
    </row>
    <row r="133" spans="1:9" ht="30" customHeight="1" x14ac:dyDescent="0.25">
      <c r="A133" s="6" t="s">
        <v>2578</v>
      </c>
      <c r="B133" s="6" t="s">
        <v>2489</v>
      </c>
      <c r="C133" s="7" t="s">
        <v>2579</v>
      </c>
      <c r="D133" s="7">
        <v>2020</v>
      </c>
      <c r="E133" s="7" t="s">
        <v>48</v>
      </c>
      <c r="F133" s="7" t="s">
        <v>49</v>
      </c>
      <c r="G133" s="7" t="s">
        <v>2161</v>
      </c>
      <c r="H133" s="7" t="s">
        <v>2580</v>
      </c>
      <c r="I133" s="9" t="s">
        <v>2581</v>
      </c>
    </row>
    <row r="134" spans="1:9" ht="30" customHeight="1" x14ac:dyDescent="0.25">
      <c r="A134" s="6" t="s">
        <v>2041</v>
      </c>
      <c r="B134" s="6" t="s">
        <v>2165</v>
      </c>
      <c r="C134" s="7" t="s">
        <v>2582</v>
      </c>
      <c r="D134" s="7">
        <v>2013</v>
      </c>
      <c r="E134" s="7" t="s">
        <v>48</v>
      </c>
      <c r="F134" s="7" t="s">
        <v>49</v>
      </c>
      <c r="G134" s="7" t="s">
        <v>2161</v>
      </c>
      <c r="H134" s="7" t="s">
        <v>2583</v>
      </c>
      <c r="I134" s="9" t="s">
        <v>2584</v>
      </c>
    </row>
    <row r="135" spans="1:9" ht="30" customHeight="1" x14ac:dyDescent="0.25">
      <c r="A135" s="6" t="s">
        <v>2585</v>
      </c>
      <c r="B135" s="6" t="s">
        <v>2568</v>
      </c>
      <c r="C135" s="7" t="s">
        <v>2586</v>
      </c>
      <c r="D135" s="7">
        <v>2013</v>
      </c>
      <c r="E135" s="7" t="s">
        <v>48</v>
      </c>
      <c r="F135" s="7" t="s">
        <v>49</v>
      </c>
      <c r="G135" s="7" t="s">
        <v>2161</v>
      </c>
      <c r="H135" s="7" t="s">
        <v>2587</v>
      </c>
      <c r="I135" s="9" t="s">
        <v>2588</v>
      </c>
    </row>
    <row r="136" spans="1:9" ht="30" customHeight="1" x14ac:dyDescent="0.25">
      <c r="A136" s="6" t="s">
        <v>2589</v>
      </c>
      <c r="B136" s="6" t="s">
        <v>2568</v>
      </c>
      <c r="C136" s="7" t="s">
        <v>2590</v>
      </c>
      <c r="D136" s="7">
        <v>2004</v>
      </c>
      <c r="E136" s="7" t="s">
        <v>48</v>
      </c>
      <c r="F136" s="7" t="s">
        <v>49</v>
      </c>
      <c r="G136" s="7" t="s">
        <v>2161</v>
      </c>
      <c r="H136" s="7" t="s">
        <v>2591</v>
      </c>
      <c r="I136" s="9" t="s">
        <v>2592</v>
      </c>
    </row>
    <row r="137" spans="1:9" ht="30" customHeight="1" x14ac:dyDescent="0.25">
      <c r="A137" s="6" t="s">
        <v>2056</v>
      </c>
      <c r="B137" s="6" t="s">
        <v>2489</v>
      </c>
      <c r="C137" s="7" t="s">
        <v>2593</v>
      </c>
      <c r="D137" s="7">
        <v>2019</v>
      </c>
      <c r="E137" s="7" t="s">
        <v>48</v>
      </c>
      <c r="F137" s="7" t="s">
        <v>49</v>
      </c>
      <c r="G137" s="7" t="s">
        <v>2161</v>
      </c>
      <c r="H137" s="7" t="s">
        <v>2594</v>
      </c>
      <c r="I137" s="9" t="s">
        <v>2595</v>
      </c>
    </row>
    <row r="138" spans="1:9" ht="30" customHeight="1" x14ac:dyDescent="0.25">
      <c r="A138" s="6" t="s">
        <v>2061</v>
      </c>
      <c r="B138" s="6" t="s">
        <v>2165</v>
      </c>
      <c r="C138" s="7" t="s">
        <v>2596</v>
      </c>
      <c r="D138" s="7">
        <v>2011</v>
      </c>
      <c r="E138" s="7" t="s">
        <v>66</v>
      </c>
      <c r="F138" s="7" t="s">
        <v>49</v>
      </c>
      <c r="G138" s="7" t="s">
        <v>2161</v>
      </c>
      <c r="H138" s="7" t="s">
        <v>2597</v>
      </c>
      <c r="I138" s="9" t="s">
        <v>2598</v>
      </c>
    </row>
    <row r="139" spans="1:9" ht="30" customHeight="1" x14ac:dyDescent="0.25">
      <c r="A139" s="6" t="s">
        <v>2078</v>
      </c>
      <c r="B139" s="6" t="s">
        <v>2489</v>
      </c>
      <c r="C139" s="7" t="s">
        <v>2599</v>
      </c>
      <c r="D139" s="7">
        <v>2022</v>
      </c>
      <c r="E139" s="7" t="s">
        <v>48</v>
      </c>
      <c r="F139" s="7" t="s">
        <v>49</v>
      </c>
      <c r="G139" s="7" t="s">
        <v>2161</v>
      </c>
      <c r="H139" s="7" t="s">
        <v>2600</v>
      </c>
      <c r="I139" s="9" t="s">
        <v>2601</v>
      </c>
    </row>
    <row r="140" spans="1:9" ht="30" customHeight="1" x14ac:dyDescent="0.25">
      <c r="A140" s="6" t="s">
        <v>2082</v>
      </c>
      <c r="B140" s="6" t="s">
        <v>2602</v>
      </c>
      <c r="C140" s="7" t="s">
        <v>2603</v>
      </c>
      <c r="D140" s="7">
        <v>2022</v>
      </c>
      <c r="E140" s="7" t="s">
        <v>48</v>
      </c>
      <c r="F140" s="7" t="s">
        <v>49</v>
      </c>
      <c r="G140" s="7" t="s">
        <v>2161</v>
      </c>
      <c r="H140" s="7" t="s">
        <v>2604</v>
      </c>
      <c r="I140" s="9" t="s">
        <v>2605</v>
      </c>
    </row>
    <row r="141" spans="1:9" ht="30" customHeight="1" x14ac:dyDescent="0.25">
      <c r="A141" s="6" t="s">
        <v>2099</v>
      </c>
      <c r="B141" s="6" t="s">
        <v>2489</v>
      </c>
      <c r="C141" s="7" t="s">
        <v>2606</v>
      </c>
      <c r="D141" s="7">
        <v>2020</v>
      </c>
      <c r="E141" s="7" t="s">
        <v>48</v>
      </c>
      <c r="F141" s="7" t="s">
        <v>58</v>
      </c>
      <c r="G141" s="7" t="s">
        <v>2161</v>
      </c>
      <c r="H141" s="7" t="s">
        <v>2198</v>
      </c>
      <c r="I141" s="9" t="s">
        <v>2607</v>
      </c>
    </row>
    <row r="142" spans="1:9" ht="30" customHeight="1" x14ac:dyDescent="0.25">
      <c r="A142" s="6" t="s">
        <v>2608</v>
      </c>
      <c r="B142" s="6" t="s">
        <v>2212</v>
      </c>
      <c r="C142" s="7" t="s">
        <v>2609</v>
      </c>
      <c r="D142" s="7" t="s">
        <v>2205</v>
      </c>
      <c r="E142" s="7" t="s">
        <v>48</v>
      </c>
      <c r="F142" s="7" t="s">
        <v>58</v>
      </c>
      <c r="G142" s="7" t="s">
        <v>2161</v>
      </c>
      <c r="H142" s="7" t="s">
        <v>2198</v>
      </c>
      <c r="I142" s="9" t="s">
        <v>2610</v>
      </c>
    </row>
    <row r="143" spans="1:9" ht="30" customHeight="1" x14ac:dyDescent="0.25">
      <c r="A143" s="6" t="s">
        <v>2113</v>
      </c>
      <c r="B143" s="6" t="s">
        <v>2364</v>
      </c>
      <c r="C143" s="7" t="s">
        <v>2611</v>
      </c>
      <c r="D143" s="7">
        <v>2020</v>
      </c>
      <c r="E143" s="7" t="s">
        <v>48</v>
      </c>
      <c r="F143" s="7" t="s">
        <v>49</v>
      </c>
      <c r="G143" s="7" t="s">
        <v>2413</v>
      </c>
      <c r="H143" s="7" t="s">
        <v>2612</v>
      </c>
      <c r="I143" s="9" t="s">
        <v>2613</v>
      </c>
    </row>
    <row r="144" spans="1:9" ht="30" customHeight="1" x14ac:dyDescent="0.25">
      <c r="A144" s="6" t="s">
        <v>2614</v>
      </c>
      <c r="B144" s="6" t="s">
        <v>2489</v>
      </c>
      <c r="C144" s="7" t="s">
        <v>2615</v>
      </c>
      <c r="D144" s="7">
        <v>2017</v>
      </c>
      <c r="E144" s="7" t="s">
        <v>48</v>
      </c>
      <c r="F144" s="7" t="s">
        <v>49</v>
      </c>
      <c r="G144" s="7" t="s">
        <v>2161</v>
      </c>
      <c r="H144" s="7" t="s">
        <v>2616</v>
      </c>
      <c r="I144" s="9" t="s">
        <v>2617</v>
      </c>
    </row>
    <row r="145" spans="1:9" ht="30" customHeight="1" x14ac:dyDescent="0.25">
      <c r="A145" s="6" t="s">
        <v>2618</v>
      </c>
      <c r="B145" s="6" t="s">
        <v>2489</v>
      </c>
      <c r="C145" s="7" t="s">
        <v>2615</v>
      </c>
      <c r="D145" s="7">
        <v>2017</v>
      </c>
      <c r="E145" s="7" t="s">
        <v>48</v>
      </c>
      <c r="F145" s="7" t="s">
        <v>49</v>
      </c>
      <c r="G145" s="7" t="s">
        <v>2161</v>
      </c>
      <c r="H145" s="7" t="s">
        <v>2619</v>
      </c>
      <c r="I145" s="9" t="s">
        <v>2620</v>
      </c>
    </row>
    <row r="146" spans="1:9" ht="30" customHeight="1" x14ac:dyDescent="0.25">
      <c r="A146" s="6" t="s">
        <v>2133</v>
      </c>
      <c r="B146" s="6" t="s">
        <v>2364</v>
      </c>
      <c r="C146" s="7" t="s">
        <v>2621</v>
      </c>
      <c r="D146" s="7">
        <v>2017</v>
      </c>
      <c r="E146" s="7" t="s">
        <v>48</v>
      </c>
      <c r="F146" s="7" t="s">
        <v>49</v>
      </c>
      <c r="G146" s="7" t="s">
        <v>2161</v>
      </c>
      <c r="H146" s="7" t="s">
        <v>2622</v>
      </c>
      <c r="I146" s="9" t="s">
        <v>2623</v>
      </c>
    </row>
    <row r="147" spans="1:9" ht="30" customHeight="1" x14ac:dyDescent="0.25">
      <c r="A147" s="6" t="s">
        <v>2624</v>
      </c>
      <c r="B147" s="6" t="s">
        <v>2165</v>
      </c>
      <c r="C147" s="7" t="s">
        <v>2625</v>
      </c>
      <c r="D147" s="7">
        <v>2007</v>
      </c>
      <c r="E147" s="7" t="s">
        <v>48</v>
      </c>
      <c r="F147" s="7" t="s">
        <v>49</v>
      </c>
      <c r="G147" s="7" t="s">
        <v>2161</v>
      </c>
      <c r="H147" s="7" t="s">
        <v>2626</v>
      </c>
      <c r="I147" s="9" t="s">
        <v>2627</v>
      </c>
    </row>
    <row r="148" spans="1:9" ht="30" customHeight="1" x14ac:dyDescent="0.25">
      <c r="A148" s="6" t="s">
        <v>2628</v>
      </c>
      <c r="B148" s="6" t="s">
        <v>2629</v>
      </c>
      <c r="C148" s="7" t="s">
        <v>2630</v>
      </c>
      <c r="D148" s="7">
        <v>2022</v>
      </c>
      <c r="E148" s="7" t="s">
        <v>48</v>
      </c>
      <c r="F148" s="7" t="s">
        <v>109</v>
      </c>
      <c r="G148" s="7" t="s">
        <v>2161</v>
      </c>
      <c r="H148" s="7" t="s">
        <v>2631</v>
      </c>
      <c r="I148" s="9" t="s">
        <v>2632</v>
      </c>
    </row>
    <row r="149" spans="1:9" ht="30" customHeight="1" x14ac:dyDescent="0.25">
      <c r="A149" s="6" t="s">
        <v>2633</v>
      </c>
      <c r="B149" s="6" t="s">
        <v>2634</v>
      </c>
      <c r="C149" s="7" t="s">
        <v>2635</v>
      </c>
      <c r="D149" s="7">
        <v>2026</v>
      </c>
      <c r="E149" s="7" t="s">
        <v>66</v>
      </c>
      <c r="F149" s="7" t="s">
        <v>109</v>
      </c>
      <c r="G149" s="7" t="s">
        <v>2161</v>
      </c>
      <c r="H149" s="7" t="s">
        <v>2636</v>
      </c>
      <c r="I149" s="9" t="s">
        <v>2637</v>
      </c>
    </row>
    <row r="150" spans="1:9" ht="30" customHeight="1" x14ac:dyDescent="0.25">
      <c r="A150" s="6" t="s">
        <v>2638</v>
      </c>
      <c r="B150" s="6" t="s">
        <v>2235</v>
      </c>
      <c r="C150" s="7" t="s">
        <v>2236</v>
      </c>
      <c r="D150" s="7">
        <v>2023</v>
      </c>
      <c r="E150" s="7" t="s">
        <v>48</v>
      </c>
      <c r="F150" s="7" t="s">
        <v>109</v>
      </c>
      <c r="G150" s="7" t="s">
        <v>2413</v>
      </c>
      <c r="H150" s="7" t="s">
        <v>2639</v>
      </c>
      <c r="I150" s="9" t="s">
        <v>2640</v>
      </c>
    </row>
    <row r="151" spans="1:9" ht="30" customHeight="1" x14ac:dyDescent="0.25">
      <c r="A151" s="6" t="s">
        <v>1670</v>
      </c>
      <c r="B151" s="6" t="s">
        <v>2189</v>
      </c>
      <c r="C151" s="7" t="s">
        <v>2641</v>
      </c>
      <c r="D151" s="7">
        <v>2023</v>
      </c>
      <c r="E151" s="7" t="s">
        <v>48</v>
      </c>
      <c r="F151" s="7" t="s">
        <v>109</v>
      </c>
      <c r="G151" s="7" t="s">
        <v>2161</v>
      </c>
      <c r="H151" s="7" t="s">
        <v>2642</v>
      </c>
      <c r="I151" s="9" t="s">
        <v>2643</v>
      </c>
    </row>
    <row r="152" spans="1:9" ht="30" customHeight="1" x14ac:dyDescent="0.25">
      <c r="A152" s="6" t="s">
        <v>2644</v>
      </c>
      <c r="B152" s="6" t="s">
        <v>2189</v>
      </c>
      <c r="C152" s="7" t="s">
        <v>2641</v>
      </c>
      <c r="D152" s="7">
        <v>2023</v>
      </c>
      <c r="E152" s="7" t="s">
        <v>48</v>
      </c>
      <c r="F152" s="7" t="s">
        <v>109</v>
      </c>
      <c r="G152" s="7" t="s">
        <v>2161</v>
      </c>
      <c r="H152" s="7" t="s">
        <v>2645</v>
      </c>
      <c r="I152" s="9" t="s">
        <v>2646</v>
      </c>
    </row>
    <row r="153" spans="1:9" ht="30" customHeight="1" x14ac:dyDescent="0.25">
      <c r="A153" s="6" t="s">
        <v>2647</v>
      </c>
      <c r="B153" s="6" t="s">
        <v>2189</v>
      </c>
      <c r="C153" s="7" t="s">
        <v>2239</v>
      </c>
      <c r="D153" s="7">
        <v>2022</v>
      </c>
      <c r="E153" s="7" t="s">
        <v>48</v>
      </c>
      <c r="F153" s="7" t="s">
        <v>109</v>
      </c>
      <c r="G153" s="7" t="s">
        <v>2161</v>
      </c>
      <c r="H153" s="7" t="s">
        <v>2648</v>
      </c>
      <c r="I153" s="9" t="s">
        <v>2649</v>
      </c>
    </row>
    <row r="154" spans="1:9" ht="30" customHeight="1" x14ac:dyDescent="0.25">
      <c r="A154" s="6" t="s">
        <v>2650</v>
      </c>
      <c r="B154" s="6" t="s">
        <v>2189</v>
      </c>
      <c r="C154" s="7" t="s">
        <v>2641</v>
      </c>
      <c r="D154" s="7">
        <v>2023</v>
      </c>
      <c r="E154" s="7" t="s">
        <v>66</v>
      </c>
      <c r="F154" s="7" t="s">
        <v>109</v>
      </c>
      <c r="G154" s="7" t="s">
        <v>2161</v>
      </c>
      <c r="H154" s="7" t="s">
        <v>2651</v>
      </c>
      <c r="I154" s="9" t="s">
        <v>2652</v>
      </c>
    </row>
    <row r="155" spans="1:9" ht="30" customHeight="1" x14ac:dyDescent="0.25">
      <c r="A155" s="6" t="s">
        <v>2653</v>
      </c>
      <c r="B155" s="6" t="s">
        <v>2235</v>
      </c>
      <c r="C155" s="7" t="s">
        <v>2259</v>
      </c>
      <c r="D155" s="7">
        <v>2026</v>
      </c>
      <c r="E155" s="7" t="s">
        <v>48</v>
      </c>
      <c r="F155" s="7" t="s">
        <v>109</v>
      </c>
      <c r="G155" s="7" t="s">
        <v>2413</v>
      </c>
      <c r="H155" s="7" t="s">
        <v>2654</v>
      </c>
      <c r="I155" s="9" t="s">
        <v>2655</v>
      </c>
    </row>
    <row r="156" spans="1:9" ht="30" customHeight="1" x14ac:dyDescent="0.25">
      <c r="A156" s="6" t="s">
        <v>1678</v>
      </c>
      <c r="B156" s="6" t="s">
        <v>2656</v>
      </c>
      <c r="C156" s="7" t="s">
        <v>2657</v>
      </c>
      <c r="D156" s="7">
        <v>2022</v>
      </c>
      <c r="E156" s="7" t="s">
        <v>66</v>
      </c>
      <c r="F156" s="7" t="s">
        <v>109</v>
      </c>
      <c r="G156" s="7" t="s">
        <v>2161</v>
      </c>
      <c r="H156" s="7" t="s">
        <v>2658</v>
      </c>
      <c r="I156" s="9" t="s">
        <v>2659</v>
      </c>
    </row>
    <row r="157" spans="1:9" ht="30" customHeight="1" x14ac:dyDescent="0.25">
      <c r="A157" s="6" t="s">
        <v>2660</v>
      </c>
      <c r="B157" s="6" t="s">
        <v>2235</v>
      </c>
      <c r="C157" s="7" t="s">
        <v>2259</v>
      </c>
      <c r="D157" s="7">
        <v>2026</v>
      </c>
      <c r="E157" s="7" t="s">
        <v>66</v>
      </c>
      <c r="F157" s="7" t="s">
        <v>109</v>
      </c>
      <c r="G157" s="7" t="s">
        <v>2413</v>
      </c>
      <c r="H157" s="7" t="s">
        <v>2661</v>
      </c>
      <c r="I157" s="9" t="s">
        <v>2662</v>
      </c>
    </row>
    <row r="158" spans="1:9" ht="30" customHeight="1" x14ac:dyDescent="0.25">
      <c r="A158" s="6" t="s">
        <v>2663</v>
      </c>
      <c r="B158" s="6" t="s">
        <v>2664</v>
      </c>
      <c r="C158" s="7" t="s">
        <v>2665</v>
      </c>
      <c r="D158" s="7">
        <v>2014</v>
      </c>
      <c r="E158" s="7" t="s">
        <v>66</v>
      </c>
      <c r="F158" s="7" t="s">
        <v>109</v>
      </c>
      <c r="G158" s="7" t="s">
        <v>2161</v>
      </c>
      <c r="H158" s="7" t="s">
        <v>2666</v>
      </c>
      <c r="I158" s="9" t="s">
        <v>2667</v>
      </c>
    </row>
    <row r="159" spans="1:9" ht="30" customHeight="1" x14ac:dyDescent="0.25">
      <c r="A159" s="6" t="s">
        <v>2668</v>
      </c>
      <c r="B159" s="6" t="s">
        <v>2669</v>
      </c>
      <c r="C159" s="7" t="s">
        <v>2670</v>
      </c>
      <c r="D159" s="7">
        <v>2026</v>
      </c>
      <c r="E159" s="7" t="s">
        <v>48</v>
      </c>
      <c r="F159" s="7" t="s">
        <v>109</v>
      </c>
      <c r="G159" s="7" t="s">
        <v>2413</v>
      </c>
      <c r="H159" s="7" t="s">
        <v>2671</v>
      </c>
      <c r="I159" s="9" t="s">
        <v>2672</v>
      </c>
    </row>
    <row r="160" spans="1:9" ht="30" customHeight="1" x14ac:dyDescent="0.25">
      <c r="A160" s="6" t="s">
        <v>2673</v>
      </c>
      <c r="B160" s="6" t="s">
        <v>2235</v>
      </c>
      <c r="C160" s="7" t="s">
        <v>2259</v>
      </c>
      <c r="D160" s="7">
        <v>2026</v>
      </c>
      <c r="E160" s="7" t="s">
        <v>48</v>
      </c>
      <c r="F160" s="7" t="s">
        <v>109</v>
      </c>
      <c r="G160" s="7" t="s">
        <v>2413</v>
      </c>
      <c r="H160" s="7" t="s">
        <v>2674</v>
      </c>
      <c r="I160" s="9" t="s">
        <v>2675</v>
      </c>
    </row>
    <row r="161" spans="1:9" ht="30" customHeight="1" x14ac:dyDescent="0.25">
      <c r="A161" s="6" t="s">
        <v>2676</v>
      </c>
      <c r="B161" s="6" t="s">
        <v>2677</v>
      </c>
      <c r="C161" s="7" t="s">
        <v>2678</v>
      </c>
      <c r="D161" s="7">
        <v>2018</v>
      </c>
      <c r="E161" s="7" t="s">
        <v>48</v>
      </c>
      <c r="F161" s="7" t="s">
        <v>109</v>
      </c>
      <c r="G161" s="7" t="s">
        <v>2161</v>
      </c>
      <c r="H161" s="7" t="s">
        <v>2679</v>
      </c>
      <c r="I161" s="9" t="s">
        <v>2680</v>
      </c>
    </row>
    <row r="162" spans="1:9" ht="30" customHeight="1" x14ac:dyDescent="0.25">
      <c r="A162" s="6" t="s">
        <v>2681</v>
      </c>
      <c r="B162" s="6" t="s">
        <v>2682</v>
      </c>
      <c r="C162" s="7" t="s">
        <v>2683</v>
      </c>
      <c r="D162" s="7">
        <v>2026</v>
      </c>
      <c r="E162" s="7" t="s">
        <v>48</v>
      </c>
      <c r="F162" s="7" t="s">
        <v>109</v>
      </c>
      <c r="G162" s="7" t="s">
        <v>2161</v>
      </c>
      <c r="H162" s="7" t="s">
        <v>2198</v>
      </c>
      <c r="I162" s="9" t="s">
        <v>2684</v>
      </c>
    </row>
    <row r="163" spans="1:9" ht="30" customHeight="1" x14ac:dyDescent="0.25">
      <c r="A163" s="6" t="s">
        <v>2685</v>
      </c>
      <c r="B163" s="6" t="s">
        <v>2686</v>
      </c>
      <c r="C163" s="7" t="s">
        <v>2687</v>
      </c>
      <c r="D163" s="7">
        <v>2023</v>
      </c>
      <c r="E163" s="7" t="s">
        <v>66</v>
      </c>
      <c r="F163" s="7" t="s">
        <v>109</v>
      </c>
      <c r="G163" s="7" t="s">
        <v>2161</v>
      </c>
      <c r="H163" s="7" t="s">
        <v>2688</v>
      </c>
      <c r="I163" s="9" t="s">
        <v>2689</v>
      </c>
    </row>
    <row r="164" spans="1:9" ht="30" customHeight="1" x14ac:dyDescent="0.25">
      <c r="A164" s="6" t="s">
        <v>2690</v>
      </c>
      <c r="B164" s="6" t="s">
        <v>2489</v>
      </c>
      <c r="C164" s="7" t="s">
        <v>2691</v>
      </c>
      <c r="D164" s="7">
        <v>2024</v>
      </c>
      <c r="E164" s="7" t="s">
        <v>66</v>
      </c>
      <c r="F164" s="7" t="s">
        <v>58</v>
      </c>
      <c r="G164" s="7" t="s">
        <v>2161</v>
      </c>
      <c r="H164" s="7" t="s">
        <v>2198</v>
      </c>
      <c r="I164" s="9" t="s">
        <v>2692</v>
      </c>
    </row>
    <row r="165" spans="1:9" ht="30" customHeight="1" x14ac:dyDescent="0.25">
      <c r="A165" s="6" t="s">
        <v>2693</v>
      </c>
      <c r="B165" s="6" t="s">
        <v>2364</v>
      </c>
      <c r="C165" s="7" t="s">
        <v>2694</v>
      </c>
      <c r="D165" s="7">
        <v>2024</v>
      </c>
      <c r="E165" s="7" t="s">
        <v>66</v>
      </c>
      <c r="F165" s="7" t="s">
        <v>58</v>
      </c>
      <c r="G165" s="7" t="s">
        <v>2161</v>
      </c>
      <c r="H165" s="7" t="s">
        <v>2198</v>
      </c>
      <c r="I165" s="9" t="s">
        <v>2695</v>
      </c>
    </row>
    <row r="166" spans="1:9" ht="30" customHeight="1" x14ac:dyDescent="0.25">
      <c r="A166" s="6" t="s">
        <v>2696</v>
      </c>
      <c r="B166" s="6" t="s">
        <v>2538</v>
      </c>
      <c r="C166" s="7" t="s">
        <v>2697</v>
      </c>
      <c r="D166" s="7">
        <v>2024</v>
      </c>
      <c r="E166" s="7" t="s">
        <v>48</v>
      </c>
      <c r="F166" s="7" t="s">
        <v>58</v>
      </c>
      <c r="G166" s="7" t="s">
        <v>2161</v>
      </c>
      <c r="H166" s="7" t="s">
        <v>2198</v>
      </c>
      <c r="I166" s="9" t="s">
        <v>2698</v>
      </c>
    </row>
    <row r="167" spans="1:9" ht="30" customHeight="1" x14ac:dyDescent="0.25">
      <c r="A167" s="6" t="s">
        <v>2699</v>
      </c>
      <c r="B167" s="6" t="s">
        <v>2538</v>
      </c>
      <c r="C167" s="7" t="s">
        <v>2700</v>
      </c>
      <c r="D167" s="7">
        <v>2021</v>
      </c>
      <c r="E167" s="7" t="s">
        <v>48</v>
      </c>
      <c r="F167" s="7" t="s">
        <v>58</v>
      </c>
      <c r="G167" s="7" t="s">
        <v>2161</v>
      </c>
      <c r="H167" s="7" t="s">
        <v>2198</v>
      </c>
      <c r="I167" s="9" t="s">
        <v>2701</v>
      </c>
    </row>
    <row r="168" spans="1:9" ht="30" customHeight="1" x14ac:dyDescent="0.25">
      <c r="A168" s="6" t="s">
        <v>2702</v>
      </c>
      <c r="B168" s="6" t="s">
        <v>2212</v>
      </c>
      <c r="C168" s="7" t="s">
        <v>2703</v>
      </c>
      <c r="D168" s="7">
        <v>2025</v>
      </c>
      <c r="E168" s="7" t="s">
        <v>48</v>
      </c>
      <c r="F168" s="7" t="s">
        <v>58</v>
      </c>
      <c r="G168" s="7" t="s">
        <v>2161</v>
      </c>
      <c r="H168" s="7" t="s">
        <v>2198</v>
      </c>
      <c r="I168" s="9" t="s">
        <v>2704</v>
      </c>
    </row>
    <row r="169" spans="1:9" ht="30" customHeight="1" x14ac:dyDescent="0.25">
      <c r="A169" s="6" t="s">
        <v>2705</v>
      </c>
      <c r="B169" s="6" t="s">
        <v>2212</v>
      </c>
      <c r="C169" s="7" t="s">
        <v>2609</v>
      </c>
      <c r="D169" s="7" t="s">
        <v>2205</v>
      </c>
      <c r="E169" s="7" t="s">
        <v>48</v>
      </c>
      <c r="F169" s="7" t="s">
        <v>58</v>
      </c>
      <c r="G169" s="7" t="s">
        <v>2161</v>
      </c>
      <c r="H169" s="7" t="s">
        <v>2198</v>
      </c>
      <c r="I169" s="9" t="s">
        <v>2706</v>
      </c>
    </row>
    <row r="170" spans="1:9" ht="30" customHeight="1" x14ac:dyDescent="0.25">
      <c r="A170" s="6" t="s">
        <v>2707</v>
      </c>
      <c r="B170" s="6" t="s">
        <v>2538</v>
      </c>
      <c r="C170" s="7" t="s">
        <v>2708</v>
      </c>
      <c r="D170" s="7">
        <v>2019</v>
      </c>
      <c r="E170" s="7" t="s">
        <v>48</v>
      </c>
      <c r="F170" s="7" t="s">
        <v>58</v>
      </c>
      <c r="G170" s="7" t="s">
        <v>2161</v>
      </c>
      <c r="H170" s="7" t="s">
        <v>2198</v>
      </c>
      <c r="I170" s="9" t="s">
        <v>2709</v>
      </c>
    </row>
    <row r="171" spans="1:9" ht="30" customHeight="1" x14ac:dyDescent="0.25">
      <c r="A171" s="6" t="s">
        <v>2710</v>
      </c>
      <c r="B171" s="6" t="s">
        <v>2538</v>
      </c>
      <c r="C171" s="7" t="s">
        <v>2708</v>
      </c>
      <c r="D171" s="7">
        <v>2019</v>
      </c>
      <c r="E171" s="7" t="s">
        <v>48</v>
      </c>
      <c r="F171" s="7" t="s">
        <v>58</v>
      </c>
      <c r="G171" s="7" t="s">
        <v>2161</v>
      </c>
      <c r="H171" s="7" t="s">
        <v>2198</v>
      </c>
      <c r="I171" s="9" t="s">
        <v>2711</v>
      </c>
    </row>
    <row r="172" spans="1:9" ht="30" customHeight="1" x14ac:dyDescent="0.25">
      <c r="A172" s="6" t="s">
        <v>2712</v>
      </c>
      <c r="B172" s="6" t="s">
        <v>2212</v>
      </c>
      <c r="C172" s="7" t="s">
        <v>2609</v>
      </c>
      <c r="D172" s="7" t="s">
        <v>2205</v>
      </c>
      <c r="E172" s="7" t="s">
        <v>48</v>
      </c>
      <c r="F172" s="7" t="s">
        <v>58</v>
      </c>
      <c r="G172" s="7" t="s">
        <v>2161</v>
      </c>
      <c r="H172" s="7" t="s">
        <v>2198</v>
      </c>
      <c r="I172" s="9" t="s">
        <v>2713</v>
      </c>
    </row>
    <row r="173" spans="1:9" ht="30" customHeight="1" x14ac:dyDescent="0.25">
      <c r="A173" s="6" t="s">
        <v>2714</v>
      </c>
      <c r="B173" s="6" t="s">
        <v>2212</v>
      </c>
      <c r="C173" s="7" t="s">
        <v>2609</v>
      </c>
      <c r="D173" s="7" t="s">
        <v>2205</v>
      </c>
      <c r="E173" s="7" t="s">
        <v>48</v>
      </c>
      <c r="F173" s="7" t="s">
        <v>58</v>
      </c>
      <c r="G173" s="7" t="s">
        <v>2161</v>
      </c>
      <c r="H173" s="7" t="s">
        <v>2198</v>
      </c>
      <c r="I173" s="9" t="s">
        <v>2715</v>
      </c>
    </row>
    <row r="174" spans="1:9" ht="30" customHeight="1" x14ac:dyDescent="0.25">
      <c r="A174" s="6" t="s">
        <v>2716</v>
      </c>
      <c r="B174" s="6" t="s">
        <v>2212</v>
      </c>
      <c r="C174" s="7" t="s">
        <v>2609</v>
      </c>
      <c r="D174" s="7" t="s">
        <v>2205</v>
      </c>
      <c r="E174" s="7" t="s">
        <v>48</v>
      </c>
      <c r="F174" s="7" t="s">
        <v>58</v>
      </c>
      <c r="G174" s="7" t="s">
        <v>2161</v>
      </c>
      <c r="H174" s="7" t="s">
        <v>2198</v>
      </c>
      <c r="I174" s="9" t="s">
        <v>2717</v>
      </c>
    </row>
    <row r="175" spans="1:9" ht="30" customHeight="1" x14ac:dyDescent="0.25">
      <c r="A175" s="6" t="s">
        <v>2718</v>
      </c>
      <c r="B175" s="6" t="s">
        <v>2212</v>
      </c>
      <c r="C175" s="7" t="s">
        <v>2609</v>
      </c>
      <c r="D175" s="7" t="s">
        <v>2205</v>
      </c>
      <c r="E175" s="7" t="s">
        <v>48</v>
      </c>
      <c r="F175" s="7" t="s">
        <v>58</v>
      </c>
      <c r="G175" s="7" t="s">
        <v>2161</v>
      </c>
      <c r="H175" s="7" t="s">
        <v>2198</v>
      </c>
      <c r="I175" s="9" t="s">
        <v>2719</v>
      </c>
    </row>
    <row r="176" spans="1:9" ht="30" customHeight="1" x14ac:dyDescent="0.25">
      <c r="A176" s="6" t="s">
        <v>2720</v>
      </c>
      <c r="B176" s="6" t="s">
        <v>2212</v>
      </c>
      <c r="C176" s="7" t="s">
        <v>2292</v>
      </c>
      <c r="D176" s="7">
        <v>1997</v>
      </c>
      <c r="E176" s="7" t="s">
        <v>48</v>
      </c>
      <c r="F176" s="7" t="s">
        <v>58</v>
      </c>
      <c r="G176" s="7" t="s">
        <v>2161</v>
      </c>
      <c r="H176" s="7" t="s">
        <v>2198</v>
      </c>
      <c r="I176" s="9" t="s">
        <v>2721</v>
      </c>
    </row>
    <row r="177" spans="1:9" ht="30" customHeight="1" x14ac:dyDescent="0.25">
      <c r="A177" s="6" t="s">
        <v>2722</v>
      </c>
      <c r="B177" s="6" t="s">
        <v>2515</v>
      </c>
      <c r="C177" s="7" t="s">
        <v>2723</v>
      </c>
      <c r="D177" s="7" t="s">
        <v>2205</v>
      </c>
      <c r="E177" s="7" t="s">
        <v>48</v>
      </c>
      <c r="F177" s="7" t="s">
        <v>58</v>
      </c>
      <c r="G177" s="7" t="s">
        <v>2161</v>
      </c>
      <c r="H177" s="7" t="s">
        <v>2198</v>
      </c>
      <c r="I177" s="9" t="s">
        <v>2724</v>
      </c>
    </row>
    <row r="178" spans="1:9" ht="30" customHeight="1" x14ac:dyDescent="0.25">
      <c r="A178" s="6" t="s">
        <v>2725</v>
      </c>
      <c r="B178" s="6" t="s">
        <v>2515</v>
      </c>
      <c r="C178" s="7" t="s">
        <v>2723</v>
      </c>
      <c r="D178" s="7" t="s">
        <v>2205</v>
      </c>
      <c r="E178" s="7" t="s">
        <v>48</v>
      </c>
      <c r="F178" s="7" t="s">
        <v>58</v>
      </c>
      <c r="G178" s="7" t="s">
        <v>2161</v>
      </c>
      <c r="H178" s="7" t="s">
        <v>2198</v>
      </c>
      <c r="I178" s="9" t="s">
        <v>2726</v>
      </c>
    </row>
    <row r="179" spans="1:9" ht="30" customHeight="1" x14ac:dyDescent="0.25">
      <c r="A179" s="6" t="s">
        <v>2727</v>
      </c>
      <c r="B179" s="6" t="s">
        <v>2515</v>
      </c>
      <c r="C179" s="7" t="s">
        <v>2723</v>
      </c>
      <c r="D179" s="7" t="s">
        <v>2205</v>
      </c>
      <c r="E179" s="7" t="s">
        <v>48</v>
      </c>
      <c r="F179" s="7" t="s">
        <v>58</v>
      </c>
      <c r="G179" s="7" t="s">
        <v>2161</v>
      </c>
      <c r="H179" s="7" t="s">
        <v>2198</v>
      </c>
      <c r="I179" s="9" t="s">
        <v>2728</v>
      </c>
    </row>
    <row r="180" spans="1:9" ht="30" customHeight="1" x14ac:dyDescent="0.25">
      <c r="A180" s="6" t="s">
        <v>2729</v>
      </c>
      <c r="B180" s="6" t="s">
        <v>2212</v>
      </c>
      <c r="C180" s="7" t="s">
        <v>2609</v>
      </c>
      <c r="D180" s="7" t="s">
        <v>2205</v>
      </c>
      <c r="E180" s="7" t="s">
        <v>48</v>
      </c>
      <c r="F180" s="7" t="s">
        <v>58</v>
      </c>
      <c r="G180" s="7" t="s">
        <v>2161</v>
      </c>
      <c r="H180" s="7" t="s">
        <v>2198</v>
      </c>
      <c r="I180" s="9" t="s">
        <v>2730</v>
      </c>
    </row>
    <row r="181" spans="1:9" ht="30" customHeight="1" x14ac:dyDescent="0.25">
      <c r="A181" s="6" t="s">
        <v>2731</v>
      </c>
      <c r="B181" s="6" t="s">
        <v>2489</v>
      </c>
      <c r="C181" s="7" t="s">
        <v>2732</v>
      </c>
      <c r="D181" s="7">
        <v>2025</v>
      </c>
      <c r="E181" s="7" t="s">
        <v>48</v>
      </c>
      <c r="F181" s="7" t="s">
        <v>58</v>
      </c>
      <c r="G181" s="7" t="s">
        <v>2161</v>
      </c>
      <c r="H181" s="7" t="s">
        <v>2198</v>
      </c>
      <c r="I181" s="9" t="s">
        <v>2733</v>
      </c>
    </row>
    <row r="182" spans="1:9" ht="30" customHeight="1" x14ac:dyDescent="0.25">
      <c r="A182" s="6" t="s">
        <v>2734</v>
      </c>
      <c r="B182" s="6" t="s">
        <v>2489</v>
      </c>
      <c r="C182" s="7" t="s">
        <v>2735</v>
      </c>
      <c r="D182" s="7" t="s">
        <v>2205</v>
      </c>
      <c r="E182" s="7" t="s">
        <v>48</v>
      </c>
      <c r="F182" s="7" t="s">
        <v>58</v>
      </c>
      <c r="G182" s="7" t="s">
        <v>2161</v>
      </c>
      <c r="H182" s="7" t="s">
        <v>2198</v>
      </c>
      <c r="I182" s="9" t="s">
        <v>2736</v>
      </c>
    </row>
    <row r="183" spans="1:9" ht="30" customHeight="1" x14ac:dyDescent="0.25">
      <c r="A183" s="6" t="s">
        <v>2737</v>
      </c>
      <c r="B183" s="6" t="s">
        <v>2738</v>
      </c>
      <c r="C183" s="7" t="s">
        <v>2739</v>
      </c>
      <c r="D183" s="7">
        <v>2021</v>
      </c>
      <c r="E183" s="7" t="s">
        <v>66</v>
      </c>
      <c r="F183" s="7" t="s">
        <v>58</v>
      </c>
      <c r="G183" s="7" t="s">
        <v>2161</v>
      </c>
      <c r="H183" s="7" t="s">
        <v>2198</v>
      </c>
      <c r="I183" s="9" t="s">
        <v>2740</v>
      </c>
    </row>
    <row r="184" spans="1:9" ht="30" customHeight="1" x14ac:dyDescent="0.25">
      <c r="A184" s="6" t="s">
        <v>2741</v>
      </c>
      <c r="B184" s="6" t="s">
        <v>2742</v>
      </c>
      <c r="C184" s="7" t="s">
        <v>2743</v>
      </c>
      <c r="D184" s="7">
        <v>2025</v>
      </c>
      <c r="E184" s="7" t="s">
        <v>48</v>
      </c>
      <c r="F184" s="7" t="s">
        <v>58</v>
      </c>
      <c r="G184" s="7" t="s">
        <v>2161</v>
      </c>
      <c r="H184" s="7" t="s">
        <v>2198</v>
      </c>
      <c r="I184" s="9" t="s">
        <v>2744</v>
      </c>
    </row>
    <row r="185" spans="1:9" ht="30" customHeight="1" x14ac:dyDescent="0.25">
      <c r="A185" s="6" t="s">
        <v>2745</v>
      </c>
      <c r="B185" s="6" t="s">
        <v>2235</v>
      </c>
      <c r="C185" s="7" t="s">
        <v>2544</v>
      </c>
      <c r="D185" s="7" t="s">
        <v>2205</v>
      </c>
      <c r="E185" s="7" t="s">
        <v>48</v>
      </c>
      <c r="F185" s="7" t="s">
        <v>58</v>
      </c>
      <c r="G185" s="7" t="s">
        <v>2161</v>
      </c>
      <c r="H185" s="7" t="s">
        <v>2198</v>
      </c>
      <c r="I185" s="9" t="s">
        <v>2746</v>
      </c>
    </row>
    <row r="186" spans="1:9" ht="30" customHeight="1" x14ac:dyDescent="0.25">
      <c r="A186" s="6" t="s">
        <v>2747</v>
      </c>
      <c r="B186" s="6" t="s">
        <v>2189</v>
      </c>
      <c r="C186" s="7" t="s">
        <v>2389</v>
      </c>
      <c r="D186" s="7">
        <v>2024</v>
      </c>
      <c r="E186" s="7" t="s">
        <v>126</v>
      </c>
      <c r="F186" s="7" t="s">
        <v>58</v>
      </c>
      <c r="G186" s="7" t="s">
        <v>2161</v>
      </c>
      <c r="H186" s="7" t="s">
        <v>2198</v>
      </c>
      <c r="I186" s="9" t="s">
        <v>2748</v>
      </c>
    </row>
    <row r="187" spans="1:9" ht="30" customHeight="1" x14ac:dyDescent="0.25">
      <c r="A187" s="6" t="s">
        <v>2749</v>
      </c>
      <c r="B187" s="6" t="s">
        <v>2750</v>
      </c>
      <c r="C187" s="7" t="s">
        <v>2751</v>
      </c>
      <c r="D187" s="7" t="s">
        <v>2205</v>
      </c>
      <c r="E187" s="7" t="s">
        <v>48</v>
      </c>
      <c r="F187" s="7" t="s">
        <v>58</v>
      </c>
      <c r="G187" s="7" t="s">
        <v>2161</v>
      </c>
      <c r="H187" s="7" t="s">
        <v>2198</v>
      </c>
      <c r="I187" s="9" t="s">
        <v>2752</v>
      </c>
    </row>
    <row r="188" spans="1:9" ht="30" customHeight="1" x14ac:dyDescent="0.25">
      <c r="A188" s="6" t="s">
        <v>2753</v>
      </c>
      <c r="B188" s="6" t="s">
        <v>2754</v>
      </c>
      <c r="C188" s="7" t="s">
        <v>2755</v>
      </c>
      <c r="D188" s="7" t="s">
        <v>2205</v>
      </c>
      <c r="E188" s="7" t="s">
        <v>48</v>
      </c>
      <c r="F188" s="7" t="s">
        <v>58</v>
      </c>
      <c r="G188" s="7" t="s">
        <v>2161</v>
      </c>
      <c r="H188" s="7" t="s">
        <v>2198</v>
      </c>
      <c r="I188" s="9" t="s">
        <v>2756</v>
      </c>
    </row>
    <row r="189" spans="1:9" ht="30" customHeight="1" x14ac:dyDescent="0.25">
      <c r="A189" s="6" t="s">
        <v>2757</v>
      </c>
      <c r="B189" s="6" t="s">
        <v>2538</v>
      </c>
      <c r="C189" s="7" t="s">
        <v>2758</v>
      </c>
      <c r="D189" s="7">
        <v>2018</v>
      </c>
      <c r="E189" s="7" t="s">
        <v>48</v>
      </c>
      <c r="F189" s="7" t="s">
        <v>58</v>
      </c>
      <c r="G189" s="7" t="s">
        <v>2161</v>
      </c>
      <c r="H189" s="7" t="s">
        <v>2198</v>
      </c>
      <c r="I189" s="9" t="s">
        <v>2759</v>
      </c>
    </row>
    <row r="190" spans="1:9" ht="30" customHeight="1" x14ac:dyDescent="0.25">
      <c r="A190" s="6" t="s">
        <v>2760</v>
      </c>
      <c r="B190" s="6" t="s">
        <v>2761</v>
      </c>
      <c r="C190" s="7" t="s">
        <v>2762</v>
      </c>
      <c r="D190" s="7" t="s">
        <v>2205</v>
      </c>
      <c r="E190" s="7" t="s">
        <v>48</v>
      </c>
      <c r="F190" s="7" t="s">
        <v>58</v>
      </c>
      <c r="G190" s="7" t="s">
        <v>2161</v>
      </c>
      <c r="H190" s="7" t="s">
        <v>2198</v>
      </c>
      <c r="I190" s="9" t="s">
        <v>2763</v>
      </c>
    </row>
    <row r="191" spans="1:9" ht="30" customHeight="1" x14ac:dyDescent="0.25">
      <c r="A191" s="6" t="s">
        <v>2764</v>
      </c>
      <c r="B191" s="6" t="s">
        <v>2750</v>
      </c>
      <c r="C191" s="7" t="s">
        <v>2751</v>
      </c>
      <c r="D191" s="7" t="s">
        <v>2205</v>
      </c>
      <c r="E191" s="7" t="s">
        <v>48</v>
      </c>
      <c r="F191" s="7" t="s">
        <v>58</v>
      </c>
      <c r="G191" s="7" t="s">
        <v>2161</v>
      </c>
      <c r="H191" s="7" t="s">
        <v>2198</v>
      </c>
      <c r="I191" s="9" t="s">
        <v>2765</v>
      </c>
    </row>
    <row r="192" spans="1:9" ht="30" customHeight="1" x14ac:dyDescent="0.25">
      <c r="A192" s="6" t="s">
        <v>2766</v>
      </c>
      <c r="B192" s="6" t="s">
        <v>2767</v>
      </c>
      <c r="C192" s="7" t="s">
        <v>2768</v>
      </c>
      <c r="D192" s="7">
        <v>2018</v>
      </c>
      <c r="E192" s="7" t="s">
        <v>48</v>
      </c>
      <c r="F192" s="7" t="s">
        <v>58</v>
      </c>
      <c r="G192" s="7" t="s">
        <v>2161</v>
      </c>
      <c r="H192" s="7" t="s">
        <v>2198</v>
      </c>
      <c r="I192" s="9" t="s">
        <v>2769</v>
      </c>
    </row>
    <row r="193" spans="1:9" ht="30" customHeight="1" x14ac:dyDescent="0.25">
      <c r="A193" s="6" t="s">
        <v>2770</v>
      </c>
      <c r="B193" s="6" t="s">
        <v>2767</v>
      </c>
      <c r="C193" s="7" t="s">
        <v>2768</v>
      </c>
      <c r="D193" s="7">
        <v>2018</v>
      </c>
      <c r="E193" s="7" t="s">
        <v>48</v>
      </c>
      <c r="F193" s="7" t="s">
        <v>58</v>
      </c>
      <c r="G193" s="7" t="s">
        <v>2161</v>
      </c>
      <c r="H193" s="7" t="s">
        <v>2198</v>
      </c>
      <c r="I193" s="9" t="s">
        <v>2771</v>
      </c>
    </row>
    <row r="194" spans="1:9" ht="30" customHeight="1" x14ac:dyDescent="0.25">
      <c r="A194" s="6" t="s">
        <v>2772</v>
      </c>
      <c r="B194" s="6" t="s">
        <v>2767</v>
      </c>
      <c r="C194" s="7" t="s">
        <v>2773</v>
      </c>
      <c r="D194" s="7">
        <v>2019</v>
      </c>
      <c r="E194" s="7" t="s">
        <v>48</v>
      </c>
      <c r="F194" s="7" t="s">
        <v>58</v>
      </c>
      <c r="G194" s="7" t="s">
        <v>2161</v>
      </c>
      <c r="H194" s="7" t="s">
        <v>2198</v>
      </c>
      <c r="I194" s="9" t="s">
        <v>2774</v>
      </c>
    </row>
    <row r="195" spans="1:9" ht="30" customHeight="1" x14ac:dyDescent="0.25">
      <c r="A195" s="6" t="s">
        <v>2775</v>
      </c>
      <c r="B195" s="6" t="s">
        <v>2538</v>
      </c>
      <c r="C195" s="7" t="s">
        <v>2776</v>
      </c>
      <c r="D195" s="7" t="s">
        <v>2205</v>
      </c>
      <c r="E195" s="7" t="s">
        <v>48</v>
      </c>
      <c r="F195" s="7" t="s">
        <v>58</v>
      </c>
      <c r="G195" s="7" t="s">
        <v>2161</v>
      </c>
      <c r="H195" s="7" t="s">
        <v>2198</v>
      </c>
      <c r="I195" s="9" t="s">
        <v>2777</v>
      </c>
    </row>
    <row r="196" spans="1:9" ht="30" customHeight="1" x14ac:dyDescent="0.25">
      <c r="A196" s="6" t="s">
        <v>2778</v>
      </c>
      <c r="B196" s="6" t="s">
        <v>2750</v>
      </c>
      <c r="C196" s="7" t="s">
        <v>2779</v>
      </c>
      <c r="D196" s="7">
        <v>2003</v>
      </c>
      <c r="E196" s="7" t="s">
        <v>48</v>
      </c>
      <c r="F196" s="7" t="s">
        <v>58</v>
      </c>
      <c r="G196" s="7" t="s">
        <v>2161</v>
      </c>
      <c r="H196" s="7" t="s">
        <v>2198</v>
      </c>
      <c r="I196" s="9" t="s">
        <v>2780</v>
      </c>
    </row>
    <row r="197" spans="1:9" ht="30" customHeight="1" x14ac:dyDescent="0.25">
      <c r="A197" s="6" t="s">
        <v>2781</v>
      </c>
      <c r="B197" s="6" t="s">
        <v>2750</v>
      </c>
      <c r="C197" s="7" t="s">
        <v>2751</v>
      </c>
      <c r="D197" s="7" t="s">
        <v>2205</v>
      </c>
      <c r="E197" s="7" t="s">
        <v>48</v>
      </c>
      <c r="F197" s="7" t="s">
        <v>58</v>
      </c>
      <c r="G197" s="7" t="s">
        <v>2161</v>
      </c>
      <c r="H197" s="7" t="s">
        <v>2198</v>
      </c>
      <c r="I197" s="9" t="s">
        <v>2782</v>
      </c>
    </row>
    <row r="198" spans="1:9" ht="30" customHeight="1" x14ac:dyDescent="0.25">
      <c r="A198" s="6" t="s">
        <v>2783</v>
      </c>
      <c r="B198" s="6" t="s">
        <v>2189</v>
      </c>
      <c r="C198" s="7" t="s">
        <v>2389</v>
      </c>
      <c r="D198" s="7">
        <v>2024</v>
      </c>
      <c r="E198" s="7" t="s">
        <v>126</v>
      </c>
      <c r="F198" s="7" t="s">
        <v>58</v>
      </c>
      <c r="G198" s="7" t="s">
        <v>2161</v>
      </c>
      <c r="H198" s="7" t="s">
        <v>2198</v>
      </c>
      <c r="I198" s="9" t="s">
        <v>2784</v>
      </c>
    </row>
    <row r="199" spans="1:9" ht="30" customHeight="1" x14ac:dyDescent="0.25">
      <c r="A199" s="6" t="s">
        <v>2785</v>
      </c>
      <c r="B199" s="6" t="s">
        <v>2212</v>
      </c>
      <c r="C199" s="7" t="s">
        <v>2786</v>
      </c>
      <c r="D199" s="7">
        <v>2015</v>
      </c>
      <c r="E199" s="7" t="s">
        <v>48</v>
      </c>
      <c r="F199" s="7" t="s">
        <v>58</v>
      </c>
      <c r="G199" s="7" t="s">
        <v>2161</v>
      </c>
      <c r="H199" s="7" t="s">
        <v>2198</v>
      </c>
      <c r="I199" s="9" t="s">
        <v>2787</v>
      </c>
    </row>
    <row r="200" spans="1:9" ht="30" customHeight="1" x14ac:dyDescent="0.25">
      <c r="A200" s="6" t="s">
        <v>2788</v>
      </c>
      <c r="B200" s="6" t="s">
        <v>2212</v>
      </c>
      <c r="C200" s="7" t="s">
        <v>2609</v>
      </c>
      <c r="D200" s="7" t="s">
        <v>2205</v>
      </c>
      <c r="E200" s="7" t="s">
        <v>48</v>
      </c>
      <c r="F200" s="7" t="s">
        <v>58</v>
      </c>
      <c r="G200" s="7" t="s">
        <v>2161</v>
      </c>
      <c r="H200" s="7" t="s">
        <v>2198</v>
      </c>
      <c r="I200" s="9" t="s">
        <v>2789</v>
      </c>
    </row>
    <row r="201" spans="1:9" ht="30" customHeight="1" x14ac:dyDescent="0.25">
      <c r="A201" s="6" t="s">
        <v>2790</v>
      </c>
      <c r="B201" s="6" t="s">
        <v>2538</v>
      </c>
      <c r="C201" s="7" t="s">
        <v>2758</v>
      </c>
      <c r="D201" s="7">
        <v>2018</v>
      </c>
      <c r="E201" s="7" t="s">
        <v>48</v>
      </c>
      <c r="F201" s="7" t="s">
        <v>58</v>
      </c>
      <c r="G201" s="7" t="s">
        <v>2413</v>
      </c>
      <c r="H201" s="7" t="s">
        <v>2198</v>
      </c>
      <c r="I201" s="9" t="s">
        <v>2791</v>
      </c>
    </row>
    <row r="202" spans="1:9" ht="30" customHeight="1" x14ac:dyDescent="0.25">
      <c r="A202" s="6" t="s">
        <v>2792</v>
      </c>
      <c r="B202" s="6" t="s">
        <v>2538</v>
      </c>
      <c r="C202" s="7" t="s">
        <v>2708</v>
      </c>
      <c r="D202" s="7">
        <v>2019</v>
      </c>
      <c r="E202" s="7" t="s">
        <v>48</v>
      </c>
      <c r="F202" s="7" t="s">
        <v>58</v>
      </c>
      <c r="G202" s="7" t="s">
        <v>2413</v>
      </c>
      <c r="H202" s="7" t="s">
        <v>2198</v>
      </c>
      <c r="I202" s="9" t="s">
        <v>2793</v>
      </c>
    </row>
    <row r="203" spans="1:9" ht="30" customHeight="1" x14ac:dyDescent="0.25">
      <c r="A203" s="6" t="s">
        <v>2794</v>
      </c>
      <c r="B203" s="6" t="s">
        <v>2795</v>
      </c>
      <c r="C203" s="7" t="s">
        <v>2796</v>
      </c>
      <c r="D203" s="7">
        <v>2026</v>
      </c>
      <c r="E203" s="7" t="s">
        <v>48</v>
      </c>
      <c r="F203" s="7" t="s">
        <v>49</v>
      </c>
      <c r="G203" s="7" t="s">
        <v>2161</v>
      </c>
      <c r="H203" s="7" t="s">
        <v>2797</v>
      </c>
      <c r="I203" s="9" t="s">
        <v>2798</v>
      </c>
    </row>
    <row r="204" spans="1:9" ht="30" customHeight="1" x14ac:dyDescent="0.25">
      <c r="A204" s="6" t="s">
        <v>1663</v>
      </c>
      <c r="B204" s="6" t="s">
        <v>2189</v>
      </c>
      <c r="C204" s="7" t="s">
        <v>2389</v>
      </c>
      <c r="D204" s="7">
        <v>2024</v>
      </c>
      <c r="E204" s="7" t="s">
        <v>48</v>
      </c>
      <c r="F204" s="7" t="s">
        <v>109</v>
      </c>
      <c r="G204" s="7" t="s">
        <v>2161</v>
      </c>
      <c r="H204" s="7" t="s">
        <v>2799</v>
      </c>
      <c r="I204" s="9" t="s">
        <v>2800</v>
      </c>
    </row>
    <row r="205" spans="1:9" ht="30" customHeight="1" x14ac:dyDescent="0.25">
      <c r="A205" s="6" t="s">
        <v>1197</v>
      </c>
      <c r="B205" s="6" t="s">
        <v>2189</v>
      </c>
      <c r="C205" s="7" t="s">
        <v>2389</v>
      </c>
      <c r="D205" s="7">
        <v>2024</v>
      </c>
      <c r="E205" s="7" t="s">
        <v>48</v>
      </c>
      <c r="F205" s="7" t="s">
        <v>109</v>
      </c>
      <c r="G205" s="7" t="s">
        <v>2161</v>
      </c>
      <c r="H205" s="7" t="s">
        <v>2801</v>
      </c>
      <c r="I205" s="9" t="s">
        <v>2802</v>
      </c>
    </row>
    <row r="206" spans="1:9" ht="30" customHeight="1" x14ac:dyDescent="0.25">
      <c r="A206" s="6" t="s">
        <v>2803</v>
      </c>
      <c r="B206" s="6" t="s">
        <v>2235</v>
      </c>
      <c r="C206" s="7" t="s">
        <v>2259</v>
      </c>
      <c r="D206" s="7">
        <v>2026</v>
      </c>
      <c r="E206" s="7" t="s">
        <v>48</v>
      </c>
      <c r="F206" s="7" t="s">
        <v>109</v>
      </c>
      <c r="G206" s="7" t="s">
        <v>2161</v>
      </c>
      <c r="H206" s="7" t="s">
        <v>2804</v>
      </c>
      <c r="I206" s="9" t="s">
        <v>2805</v>
      </c>
    </row>
    <row r="207" spans="1:9" ht="30" customHeight="1" x14ac:dyDescent="0.25">
      <c r="A207" s="6" t="s">
        <v>2806</v>
      </c>
      <c r="B207" s="6" t="s">
        <v>2235</v>
      </c>
      <c r="C207" s="7" t="s">
        <v>2259</v>
      </c>
      <c r="D207" s="7">
        <v>2026</v>
      </c>
      <c r="E207" s="7" t="s">
        <v>48</v>
      </c>
      <c r="F207" s="7" t="s">
        <v>109</v>
      </c>
      <c r="G207" s="7" t="s">
        <v>2161</v>
      </c>
      <c r="H207" s="7" t="s">
        <v>2807</v>
      </c>
      <c r="I207" s="9" t="s">
        <v>2808</v>
      </c>
    </row>
    <row r="208" spans="1:9" ht="30" customHeight="1" x14ac:dyDescent="0.25">
      <c r="A208" s="6" t="s">
        <v>2809</v>
      </c>
      <c r="B208" s="6" t="s">
        <v>2235</v>
      </c>
      <c r="C208" s="7" t="s">
        <v>2259</v>
      </c>
      <c r="D208" s="7">
        <v>2026</v>
      </c>
      <c r="E208" s="7" t="s">
        <v>48</v>
      </c>
      <c r="F208" s="7" t="s">
        <v>109</v>
      </c>
      <c r="G208" s="7" t="s">
        <v>2161</v>
      </c>
      <c r="H208" s="7" t="s">
        <v>2198</v>
      </c>
      <c r="I208" s="9" t="s">
        <v>2810</v>
      </c>
    </row>
    <row r="209" spans="1:9" ht="30" customHeight="1" x14ac:dyDescent="0.25">
      <c r="A209" s="6" t="s">
        <v>2811</v>
      </c>
      <c r="B209" s="6" t="s">
        <v>2466</v>
      </c>
      <c r="C209" s="7" t="s">
        <v>2812</v>
      </c>
      <c r="D209" s="7">
        <v>2024</v>
      </c>
      <c r="E209" s="7" t="s">
        <v>48</v>
      </c>
      <c r="F209" s="7" t="s">
        <v>49</v>
      </c>
      <c r="G209" s="7" t="s">
        <v>2161</v>
      </c>
      <c r="H209" s="7" t="s">
        <v>2813</v>
      </c>
      <c r="I209" s="9" t="s">
        <v>2814</v>
      </c>
    </row>
    <row r="210" spans="1:9" ht="30" customHeight="1" x14ac:dyDescent="0.25">
      <c r="A210" s="6" t="s">
        <v>2815</v>
      </c>
      <c r="B210" s="6" t="s">
        <v>2816</v>
      </c>
      <c r="C210" s="7" t="s">
        <v>2817</v>
      </c>
      <c r="D210" s="7">
        <v>2024</v>
      </c>
      <c r="E210" s="7" t="s">
        <v>48</v>
      </c>
      <c r="F210" s="7" t="s">
        <v>49</v>
      </c>
      <c r="G210" s="7" t="s">
        <v>2161</v>
      </c>
      <c r="H210" s="7" t="s">
        <v>2818</v>
      </c>
      <c r="I210" s="9" t="s">
        <v>2819</v>
      </c>
    </row>
    <row r="211" spans="1:9" ht="30" customHeight="1" x14ac:dyDescent="0.25">
      <c r="A211" s="6" t="s">
        <v>2820</v>
      </c>
      <c r="B211" s="6" t="s">
        <v>2821</v>
      </c>
      <c r="C211" s="7" t="s">
        <v>2822</v>
      </c>
      <c r="D211" s="7">
        <v>2024</v>
      </c>
      <c r="E211" s="7" t="s">
        <v>48</v>
      </c>
      <c r="F211" s="7" t="s">
        <v>49</v>
      </c>
      <c r="G211" s="7" t="s">
        <v>2161</v>
      </c>
      <c r="H211" s="7" t="s">
        <v>2198</v>
      </c>
      <c r="I211" s="9" t="s">
        <v>2823</v>
      </c>
    </row>
    <row r="212" spans="1:9" ht="30" customHeight="1" x14ac:dyDescent="0.25">
      <c r="A212" s="6" t="s">
        <v>2824</v>
      </c>
      <c r="B212" s="6" t="s">
        <v>2825</v>
      </c>
      <c r="C212" s="7" t="s">
        <v>2826</v>
      </c>
      <c r="D212" s="7">
        <v>2016</v>
      </c>
      <c r="E212" s="7" t="s">
        <v>48</v>
      </c>
      <c r="F212" s="7" t="s">
        <v>49</v>
      </c>
      <c r="G212" s="7" t="s">
        <v>2161</v>
      </c>
      <c r="H212" s="7" t="s">
        <v>2827</v>
      </c>
      <c r="I212" s="9" t="s">
        <v>2828</v>
      </c>
    </row>
    <row r="213" spans="1:9" ht="30" customHeight="1" x14ac:dyDescent="0.25">
      <c r="A213" s="6" t="s">
        <v>2829</v>
      </c>
      <c r="B213" s="6" t="s">
        <v>2821</v>
      </c>
      <c r="C213" s="7" t="s">
        <v>2830</v>
      </c>
      <c r="D213" s="7">
        <v>2004</v>
      </c>
      <c r="E213" s="7" t="s">
        <v>48</v>
      </c>
      <c r="F213" s="7" t="s">
        <v>49</v>
      </c>
      <c r="G213" s="7" t="s">
        <v>2161</v>
      </c>
      <c r="H213" s="7" t="s">
        <v>2831</v>
      </c>
      <c r="I213" s="9" t="s">
        <v>2832</v>
      </c>
    </row>
    <row r="214" spans="1:9" ht="30" customHeight="1" x14ac:dyDescent="0.25">
      <c r="A214" s="6" t="s">
        <v>2833</v>
      </c>
      <c r="B214" s="6" t="s">
        <v>2189</v>
      </c>
      <c r="C214" s="7" t="s">
        <v>2197</v>
      </c>
      <c r="D214" s="7">
        <v>2015</v>
      </c>
      <c r="E214" s="7" t="s">
        <v>66</v>
      </c>
      <c r="F214" s="7" t="s">
        <v>49</v>
      </c>
      <c r="G214" s="7" t="s">
        <v>2161</v>
      </c>
      <c r="H214" s="7" t="s">
        <v>2834</v>
      </c>
      <c r="I214" s="9" t="s">
        <v>2835</v>
      </c>
    </row>
    <row r="215" spans="1:9" ht="30" customHeight="1" x14ac:dyDescent="0.25">
      <c r="A215" s="6" t="s">
        <v>2836</v>
      </c>
      <c r="B215" s="6" t="s">
        <v>2837</v>
      </c>
      <c r="C215" s="7" t="s">
        <v>2838</v>
      </c>
      <c r="D215" s="7">
        <v>2018</v>
      </c>
      <c r="E215" s="7" t="s">
        <v>66</v>
      </c>
      <c r="F215" s="7" t="s">
        <v>49</v>
      </c>
      <c r="G215" s="7" t="s">
        <v>2161</v>
      </c>
      <c r="H215" s="7" t="s">
        <v>2839</v>
      </c>
      <c r="I215" s="9" t="s">
        <v>2840</v>
      </c>
    </row>
    <row r="216" spans="1:9" ht="30" customHeight="1" x14ac:dyDescent="0.25">
      <c r="A216" s="6" t="s">
        <v>2841</v>
      </c>
      <c r="B216" s="6" t="s">
        <v>2189</v>
      </c>
      <c r="C216" s="7" t="s">
        <v>2224</v>
      </c>
      <c r="D216" s="7">
        <v>2019</v>
      </c>
      <c r="E216" s="7" t="s">
        <v>66</v>
      </c>
      <c r="F216" s="7" t="s">
        <v>49</v>
      </c>
      <c r="G216" s="7" t="s">
        <v>2161</v>
      </c>
      <c r="H216" s="7" t="s">
        <v>2842</v>
      </c>
      <c r="I216" s="9" t="s">
        <v>2843</v>
      </c>
    </row>
    <row r="217" spans="1:9" ht="30" customHeight="1" x14ac:dyDescent="0.25">
      <c r="A217" s="6" t="s">
        <v>2844</v>
      </c>
      <c r="B217" s="6" t="s">
        <v>2845</v>
      </c>
      <c r="C217" s="7" t="s">
        <v>2846</v>
      </c>
      <c r="D217" s="7">
        <v>2024</v>
      </c>
      <c r="E217" s="7" t="s">
        <v>48</v>
      </c>
      <c r="F217" s="7" t="s">
        <v>49</v>
      </c>
      <c r="G217" s="7" t="s">
        <v>2413</v>
      </c>
      <c r="H217" s="7" t="s">
        <v>2847</v>
      </c>
      <c r="I217" s="9" t="s">
        <v>2848</v>
      </c>
    </row>
    <row r="218" spans="1:9" ht="30" customHeight="1" x14ac:dyDescent="0.25">
      <c r="A218" s="6" t="s">
        <v>2849</v>
      </c>
      <c r="B218" s="6" t="s">
        <v>2850</v>
      </c>
      <c r="C218" s="7" t="s">
        <v>2851</v>
      </c>
      <c r="D218" s="7">
        <v>2024</v>
      </c>
      <c r="E218" s="7" t="s">
        <v>48</v>
      </c>
      <c r="F218" s="7" t="s">
        <v>49</v>
      </c>
      <c r="G218" s="7" t="s">
        <v>2161</v>
      </c>
      <c r="H218" s="7" t="s">
        <v>2852</v>
      </c>
      <c r="I218" s="9" t="s">
        <v>2853</v>
      </c>
    </row>
    <row r="219" spans="1:9" ht="30" customHeight="1" x14ac:dyDescent="0.25">
      <c r="A219" s="6" t="s">
        <v>2854</v>
      </c>
      <c r="B219" s="6" t="s">
        <v>2855</v>
      </c>
      <c r="C219" s="7" t="s">
        <v>2856</v>
      </c>
      <c r="D219" s="7">
        <v>2014</v>
      </c>
      <c r="E219" s="7" t="s">
        <v>66</v>
      </c>
      <c r="F219" s="7" t="s">
        <v>49</v>
      </c>
      <c r="G219" s="7" t="s">
        <v>2161</v>
      </c>
      <c r="H219" s="7" t="s">
        <v>2857</v>
      </c>
      <c r="I219" s="9" t="s">
        <v>2858</v>
      </c>
    </row>
    <row r="220" spans="1:9" ht="30" customHeight="1" x14ac:dyDescent="0.25">
      <c r="A220" s="6" t="s">
        <v>2859</v>
      </c>
      <c r="B220" s="6" t="s">
        <v>2845</v>
      </c>
      <c r="C220" s="7" t="s">
        <v>2860</v>
      </c>
      <c r="D220" s="7">
        <v>2026</v>
      </c>
      <c r="E220" s="7" t="s">
        <v>48</v>
      </c>
      <c r="F220" s="7" t="s">
        <v>49</v>
      </c>
      <c r="G220" s="7" t="s">
        <v>2161</v>
      </c>
      <c r="H220" s="7" t="s">
        <v>2861</v>
      </c>
      <c r="I220" s="9" t="s">
        <v>2862</v>
      </c>
    </row>
    <row r="221" spans="1:9" ht="30" customHeight="1" x14ac:dyDescent="0.25">
      <c r="A221" s="6" t="s">
        <v>2863</v>
      </c>
      <c r="B221" s="6" t="s">
        <v>2850</v>
      </c>
      <c r="C221" s="7" t="s">
        <v>2864</v>
      </c>
      <c r="D221" s="7">
        <v>2021</v>
      </c>
      <c r="E221" s="7" t="s">
        <v>48</v>
      </c>
      <c r="F221" s="7" t="s">
        <v>49</v>
      </c>
      <c r="G221" s="7" t="s">
        <v>2161</v>
      </c>
      <c r="H221" s="7" t="s">
        <v>2865</v>
      </c>
      <c r="I221" s="9" t="s">
        <v>2866</v>
      </c>
    </row>
    <row r="222" spans="1:9" ht="30" customHeight="1" x14ac:dyDescent="0.25">
      <c r="A222" s="6" t="s">
        <v>2867</v>
      </c>
      <c r="B222" s="6" t="s">
        <v>2845</v>
      </c>
      <c r="C222" s="7" t="s">
        <v>2868</v>
      </c>
      <c r="D222" s="7">
        <v>2023</v>
      </c>
      <c r="E222" s="7" t="s">
        <v>48</v>
      </c>
      <c r="F222" s="7" t="s">
        <v>49</v>
      </c>
      <c r="G222" s="7" t="s">
        <v>2161</v>
      </c>
      <c r="H222" s="7" t="s">
        <v>2869</v>
      </c>
      <c r="I222" s="9" t="s">
        <v>2870</v>
      </c>
    </row>
    <row r="223" spans="1:9" ht="30" customHeight="1" x14ac:dyDescent="0.25">
      <c r="A223" s="6" t="s">
        <v>2871</v>
      </c>
      <c r="B223" s="6" t="s">
        <v>2872</v>
      </c>
      <c r="C223" s="7" t="s">
        <v>2873</v>
      </c>
      <c r="D223" s="7">
        <v>2026</v>
      </c>
      <c r="E223" s="7" t="s">
        <v>66</v>
      </c>
      <c r="F223" s="7" t="s">
        <v>49</v>
      </c>
      <c r="G223" s="7" t="s">
        <v>2161</v>
      </c>
      <c r="H223" s="7" t="s">
        <v>2874</v>
      </c>
      <c r="I223" s="9" t="s">
        <v>2875</v>
      </c>
    </row>
    <row r="224" spans="1:9" ht="30" customHeight="1" x14ac:dyDescent="0.25">
      <c r="A224" s="6" t="s">
        <v>2876</v>
      </c>
      <c r="B224" s="6" t="s">
        <v>2877</v>
      </c>
      <c r="C224" s="7" t="s">
        <v>2878</v>
      </c>
      <c r="D224" s="7">
        <v>2025</v>
      </c>
      <c r="E224" s="7" t="s">
        <v>48</v>
      </c>
      <c r="F224" s="7" t="s">
        <v>49</v>
      </c>
      <c r="G224" s="7" t="s">
        <v>2161</v>
      </c>
      <c r="H224" s="7" t="s">
        <v>2879</v>
      </c>
      <c r="I224" s="9" t="s">
        <v>2880</v>
      </c>
    </row>
    <row r="225" spans="1:9" ht="30" customHeight="1" x14ac:dyDescent="0.25">
      <c r="A225" s="6" t="s">
        <v>2881</v>
      </c>
      <c r="B225" s="6" t="s">
        <v>2882</v>
      </c>
      <c r="C225" s="7" t="s">
        <v>2883</v>
      </c>
      <c r="D225" s="7">
        <v>2026</v>
      </c>
      <c r="E225" s="7" t="s">
        <v>48</v>
      </c>
      <c r="F225" s="7" t="s">
        <v>49</v>
      </c>
      <c r="G225" s="7" t="s">
        <v>2161</v>
      </c>
      <c r="H225" s="7" t="s">
        <v>2884</v>
      </c>
      <c r="I225" s="9" t="s">
        <v>2885</v>
      </c>
    </row>
    <row r="226" spans="1:9" ht="30" customHeight="1" x14ac:dyDescent="0.25">
      <c r="A226" s="6" t="s">
        <v>2886</v>
      </c>
      <c r="B226" s="6" t="s">
        <v>2816</v>
      </c>
      <c r="C226" s="7" t="s">
        <v>2887</v>
      </c>
      <c r="D226" s="7">
        <v>2011</v>
      </c>
      <c r="E226" s="7" t="s">
        <v>48</v>
      </c>
      <c r="F226" s="7" t="s">
        <v>49</v>
      </c>
      <c r="G226" s="7" t="s">
        <v>2161</v>
      </c>
      <c r="H226" s="7" t="s">
        <v>2888</v>
      </c>
      <c r="I226" s="9" t="s">
        <v>2889</v>
      </c>
    </row>
    <row r="227" spans="1:9" ht="30" customHeight="1" x14ac:dyDescent="0.25">
      <c r="A227" s="6" t="s">
        <v>2890</v>
      </c>
      <c r="B227" s="6" t="s">
        <v>2882</v>
      </c>
      <c r="C227" s="7" t="s">
        <v>2891</v>
      </c>
      <c r="D227" s="7">
        <v>2024</v>
      </c>
      <c r="E227" s="7" t="s">
        <v>48</v>
      </c>
      <c r="F227" s="7" t="s">
        <v>49</v>
      </c>
      <c r="G227" s="7" t="s">
        <v>2161</v>
      </c>
      <c r="H227" s="7" t="s">
        <v>2892</v>
      </c>
      <c r="I227" s="9" t="s">
        <v>2893</v>
      </c>
    </row>
    <row r="228" spans="1:9" ht="30" customHeight="1" x14ac:dyDescent="0.25">
      <c r="A228" s="6" t="s">
        <v>2894</v>
      </c>
      <c r="B228" s="6" t="s">
        <v>2895</v>
      </c>
      <c r="C228" s="7" t="s">
        <v>2896</v>
      </c>
      <c r="D228" s="7">
        <v>2025</v>
      </c>
      <c r="E228" s="7" t="s">
        <v>48</v>
      </c>
      <c r="F228" s="7" t="s">
        <v>49</v>
      </c>
      <c r="G228" s="7" t="s">
        <v>2161</v>
      </c>
      <c r="H228" s="7" t="s">
        <v>2897</v>
      </c>
      <c r="I228" s="9" t="s">
        <v>2898</v>
      </c>
    </row>
    <row r="229" spans="1:9" ht="30" customHeight="1" x14ac:dyDescent="0.25">
      <c r="A229" s="6" t="s">
        <v>2899</v>
      </c>
      <c r="B229" s="6" t="s">
        <v>2821</v>
      </c>
      <c r="C229" s="7" t="s">
        <v>2900</v>
      </c>
      <c r="D229" s="7">
        <v>2008</v>
      </c>
      <c r="E229" s="7" t="s">
        <v>48</v>
      </c>
      <c r="F229" s="7" t="s">
        <v>49</v>
      </c>
      <c r="G229" s="7" t="s">
        <v>2161</v>
      </c>
      <c r="H229" s="7" t="s">
        <v>2901</v>
      </c>
      <c r="I229" s="9" t="s">
        <v>2902</v>
      </c>
    </row>
    <row r="230" spans="1:9" ht="30" customHeight="1" x14ac:dyDescent="0.25">
      <c r="A230" s="6" t="s">
        <v>2903</v>
      </c>
      <c r="B230" s="6" t="s">
        <v>2882</v>
      </c>
      <c r="C230" s="7" t="s">
        <v>2904</v>
      </c>
      <c r="D230" s="7">
        <v>2007</v>
      </c>
      <c r="E230" s="7" t="s">
        <v>48</v>
      </c>
      <c r="F230" s="7" t="s">
        <v>49</v>
      </c>
      <c r="G230" s="7" t="s">
        <v>2161</v>
      </c>
      <c r="H230" s="7" t="s">
        <v>2905</v>
      </c>
      <c r="I230" s="9" t="s">
        <v>2906</v>
      </c>
    </row>
    <row r="231" spans="1:9" ht="30" customHeight="1" x14ac:dyDescent="0.25">
      <c r="A231" s="6" t="s">
        <v>2907</v>
      </c>
      <c r="B231" s="6" t="s">
        <v>2908</v>
      </c>
      <c r="C231" s="7" t="s">
        <v>2909</v>
      </c>
      <c r="D231" s="7">
        <v>2024</v>
      </c>
      <c r="E231" s="7" t="s">
        <v>48</v>
      </c>
      <c r="F231" s="7" t="s">
        <v>49</v>
      </c>
      <c r="G231" s="7" t="s">
        <v>2161</v>
      </c>
      <c r="H231" s="7" t="s">
        <v>2910</v>
      </c>
      <c r="I231" s="9" t="s">
        <v>2911</v>
      </c>
    </row>
    <row r="232" spans="1:9" ht="30" customHeight="1" x14ac:dyDescent="0.25">
      <c r="A232" s="6" t="s">
        <v>2912</v>
      </c>
      <c r="B232" s="6" t="s">
        <v>2913</v>
      </c>
      <c r="C232" s="7" t="s">
        <v>2914</v>
      </c>
      <c r="D232" s="7">
        <v>2023</v>
      </c>
      <c r="E232" s="7" t="s">
        <v>48</v>
      </c>
      <c r="F232" s="7" t="s">
        <v>49</v>
      </c>
      <c r="G232" s="7" t="s">
        <v>2161</v>
      </c>
      <c r="H232" s="7" t="s">
        <v>2915</v>
      </c>
      <c r="I232" s="9" t="s">
        <v>2916</v>
      </c>
    </row>
    <row r="233" spans="1:9" ht="30" customHeight="1" x14ac:dyDescent="0.25">
      <c r="A233" s="6" t="s">
        <v>2917</v>
      </c>
      <c r="B233" s="6" t="s">
        <v>2918</v>
      </c>
      <c r="C233" s="7" t="s">
        <v>2919</v>
      </c>
      <c r="D233" s="7">
        <v>2019</v>
      </c>
      <c r="E233" s="7" t="s">
        <v>48</v>
      </c>
      <c r="F233" s="7" t="s">
        <v>49</v>
      </c>
      <c r="G233" s="7" t="s">
        <v>2161</v>
      </c>
      <c r="H233" s="7" t="s">
        <v>2920</v>
      </c>
      <c r="I233" s="9" t="s">
        <v>2921</v>
      </c>
    </row>
    <row r="234" spans="1:9" ht="30" customHeight="1" x14ac:dyDescent="0.25">
      <c r="A234" s="6" t="s">
        <v>2922</v>
      </c>
      <c r="B234" s="6" t="s">
        <v>2235</v>
      </c>
      <c r="C234" s="7" t="s">
        <v>2923</v>
      </c>
      <c r="D234" s="7">
        <v>2025</v>
      </c>
      <c r="E234" s="7" t="s">
        <v>48</v>
      </c>
      <c r="F234" s="7" t="s">
        <v>49</v>
      </c>
      <c r="G234" s="7" t="s">
        <v>2161</v>
      </c>
      <c r="H234" s="7" t="s">
        <v>2924</v>
      </c>
      <c r="I234" s="9" t="s">
        <v>2925</v>
      </c>
    </row>
    <row r="235" spans="1:9" ht="30" customHeight="1" x14ac:dyDescent="0.25">
      <c r="A235" s="6" t="s">
        <v>2926</v>
      </c>
      <c r="B235" s="6" t="s">
        <v>2927</v>
      </c>
      <c r="C235" s="7" t="s">
        <v>2928</v>
      </c>
      <c r="D235" s="7">
        <v>2022</v>
      </c>
      <c r="E235" s="7" t="s">
        <v>48</v>
      </c>
      <c r="F235" s="7" t="s">
        <v>49</v>
      </c>
      <c r="G235" s="7" t="s">
        <v>2161</v>
      </c>
      <c r="H235" s="7" t="s">
        <v>2929</v>
      </c>
      <c r="I235" s="9" t="s">
        <v>2930</v>
      </c>
    </row>
    <row r="236" spans="1:9" ht="30" customHeight="1" x14ac:dyDescent="0.25">
      <c r="A236" s="6" t="s">
        <v>2931</v>
      </c>
      <c r="B236" s="6" t="s">
        <v>2932</v>
      </c>
      <c r="C236" s="7" t="s">
        <v>2933</v>
      </c>
      <c r="D236" s="7">
        <v>2023</v>
      </c>
      <c r="E236" s="7" t="s">
        <v>48</v>
      </c>
      <c r="F236" s="7" t="s">
        <v>49</v>
      </c>
      <c r="G236" s="7" t="s">
        <v>2161</v>
      </c>
      <c r="H236" s="7" t="s">
        <v>2934</v>
      </c>
      <c r="I236" s="9" t="s">
        <v>2935</v>
      </c>
    </row>
    <row r="237" spans="1:9" ht="30" customHeight="1" x14ac:dyDescent="0.25">
      <c r="A237" s="6" t="s">
        <v>2936</v>
      </c>
      <c r="B237" s="6" t="s">
        <v>2937</v>
      </c>
      <c r="C237" s="7" t="s">
        <v>2938</v>
      </c>
      <c r="D237" s="7">
        <v>2026</v>
      </c>
      <c r="E237" s="7" t="s">
        <v>48</v>
      </c>
      <c r="F237" s="7" t="s">
        <v>49</v>
      </c>
      <c r="G237" s="7" t="s">
        <v>2161</v>
      </c>
      <c r="H237" s="7" t="s">
        <v>2939</v>
      </c>
      <c r="I237" s="9" t="s">
        <v>2940</v>
      </c>
    </row>
    <row r="238" spans="1:9" ht="30" customHeight="1" x14ac:dyDescent="0.25">
      <c r="A238" s="6" t="s">
        <v>1278</v>
      </c>
      <c r="B238" s="6" t="s">
        <v>2531</v>
      </c>
      <c r="C238" s="7" t="s">
        <v>2941</v>
      </c>
      <c r="D238" s="7">
        <v>2024</v>
      </c>
      <c r="E238" s="7" t="s">
        <v>48</v>
      </c>
      <c r="F238" s="7" t="s">
        <v>49</v>
      </c>
      <c r="G238" s="7" t="s">
        <v>2161</v>
      </c>
      <c r="H238" s="7" t="s">
        <v>2942</v>
      </c>
      <c r="I238" s="9" t="s">
        <v>2943</v>
      </c>
    </row>
    <row r="239" spans="1:9" ht="30" customHeight="1" x14ac:dyDescent="0.25">
      <c r="A239" s="6" t="s">
        <v>2944</v>
      </c>
      <c r="B239" s="6" t="s">
        <v>2531</v>
      </c>
      <c r="C239" s="7" t="s">
        <v>2945</v>
      </c>
      <c r="D239" s="7">
        <v>2025</v>
      </c>
      <c r="E239" s="7" t="s">
        <v>48</v>
      </c>
      <c r="F239" s="7" t="s">
        <v>49</v>
      </c>
      <c r="G239" s="7" t="s">
        <v>2161</v>
      </c>
      <c r="H239" s="7" t="s">
        <v>2946</v>
      </c>
      <c r="I239" s="9" t="s">
        <v>2947</v>
      </c>
    </row>
    <row r="240" spans="1:9" ht="30" customHeight="1" x14ac:dyDescent="0.25">
      <c r="A240" s="6" t="s">
        <v>2948</v>
      </c>
      <c r="B240" s="6" t="s">
        <v>2235</v>
      </c>
      <c r="C240" s="7" t="s">
        <v>2259</v>
      </c>
      <c r="D240" s="7">
        <v>2026</v>
      </c>
      <c r="E240" s="7" t="s">
        <v>48</v>
      </c>
      <c r="F240" s="7" t="s">
        <v>49</v>
      </c>
      <c r="G240" s="7" t="s">
        <v>2161</v>
      </c>
      <c r="H240" s="7" t="s">
        <v>2949</v>
      </c>
      <c r="I240" s="9" t="s">
        <v>2950</v>
      </c>
    </row>
    <row r="241" spans="1:9" ht="30" customHeight="1" x14ac:dyDescent="0.25">
      <c r="A241" s="6" t="s">
        <v>1287</v>
      </c>
      <c r="B241" s="6" t="s">
        <v>2951</v>
      </c>
      <c r="C241" s="7" t="s">
        <v>2952</v>
      </c>
      <c r="D241" s="7">
        <v>2015</v>
      </c>
      <c r="E241" s="7" t="s">
        <v>126</v>
      </c>
      <c r="F241" s="7" t="s">
        <v>49</v>
      </c>
      <c r="G241" s="7" t="s">
        <v>2161</v>
      </c>
      <c r="H241" s="7" t="s">
        <v>2953</v>
      </c>
      <c r="I241" s="9" t="s">
        <v>2954</v>
      </c>
    </row>
    <row r="242" spans="1:9" ht="30" customHeight="1" x14ac:dyDescent="0.25">
      <c r="A242" s="6" t="s">
        <v>1290</v>
      </c>
      <c r="B242" s="6" t="s">
        <v>2951</v>
      </c>
      <c r="C242" s="7" t="s">
        <v>2952</v>
      </c>
      <c r="D242" s="7">
        <v>2015</v>
      </c>
      <c r="E242" s="7" t="s">
        <v>126</v>
      </c>
      <c r="F242" s="7" t="s">
        <v>49</v>
      </c>
      <c r="G242" s="7" t="s">
        <v>2161</v>
      </c>
      <c r="H242" s="7" t="s">
        <v>2955</v>
      </c>
      <c r="I242" s="9" t="s">
        <v>2956</v>
      </c>
    </row>
    <row r="243" spans="1:9" ht="30" customHeight="1" x14ac:dyDescent="0.25">
      <c r="A243" s="6" t="s">
        <v>2957</v>
      </c>
      <c r="B243" s="6" t="s">
        <v>2538</v>
      </c>
      <c r="C243" s="7" t="s">
        <v>2958</v>
      </c>
      <c r="D243" s="7">
        <v>2015</v>
      </c>
      <c r="E243" s="7" t="s">
        <v>48</v>
      </c>
      <c r="F243" s="7" t="s">
        <v>49</v>
      </c>
      <c r="G243" s="7" t="s">
        <v>2161</v>
      </c>
      <c r="H243" s="7" t="s">
        <v>2959</v>
      </c>
      <c r="I243" s="9" t="s">
        <v>2960</v>
      </c>
    </row>
    <row r="244" spans="1:9" ht="30" customHeight="1" x14ac:dyDescent="0.25">
      <c r="A244" s="6" t="s">
        <v>1294</v>
      </c>
      <c r="B244" s="6" t="s">
        <v>2951</v>
      </c>
      <c r="C244" s="7" t="s">
        <v>2961</v>
      </c>
      <c r="D244" s="7">
        <v>2011</v>
      </c>
      <c r="E244" s="7" t="s">
        <v>126</v>
      </c>
      <c r="F244" s="7" t="s">
        <v>49</v>
      </c>
      <c r="G244" s="7" t="s">
        <v>2161</v>
      </c>
      <c r="H244" s="7" t="s">
        <v>2962</v>
      </c>
      <c r="I244" s="9" t="s">
        <v>2963</v>
      </c>
    </row>
    <row r="245" spans="1:9" ht="30" customHeight="1" x14ac:dyDescent="0.25">
      <c r="A245" s="6" t="s">
        <v>1297</v>
      </c>
      <c r="B245" s="6" t="s">
        <v>2235</v>
      </c>
      <c r="C245" s="7" t="s">
        <v>2259</v>
      </c>
      <c r="D245" s="7">
        <v>2026</v>
      </c>
      <c r="E245" s="7" t="s">
        <v>48</v>
      </c>
      <c r="F245" s="7" t="s">
        <v>49</v>
      </c>
      <c r="G245" s="7" t="s">
        <v>2161</v>
      </c>
      <c r="H245" s="7" t="s">
        <v>2964</v>
      </c>
      <c r="I245" s="9" t="s">
        <v>2965</v>
      </c>
    </row>
    <row r="246" spans="1:9" ht="30" customHeight="1" x14ac:dyDescent="0.25">
      <c r="A246" s="6" t="s">
        <v>1301</v>
      </c>
      <c r="B246" s="6" t="s">
        <v>2235</v>
      </c>
      <c r="C246" s="7" t="s">
        <v>2259</v>
      </c>
      <c r="D246" s="7">
        <v>2026</v>
      </c>
      <c r="E246" s="7" t="s">
        <v>48</v>
      </c>
      <c r="F246" s="7" t="s">
        <v>49</v>
      </c>
      <c r="G246" s="7" t="s">
        <v>2161</v>
      </c>
      <c r="H246" s="7" t="s">
        <v>2966</v>
      </c>
      <c r="I246" s="9" t="s">
        <v>2967</v>
      </c>
    </row>
    <row r="247" spans="1:9" ht="30" customHeight="1" x14ac:dyDescent="0.25">
      <c r="A247" s="6" t="s">
        <v>2968</v>
      </c>
      <c r="B247" s="6" t="s">
        <v>2531</v>
      </c>
      <c r="C247" s="7" t="s">
        <v>2969</v>
      </c>
      <c r="D247" s="7">
        <v>2022</v>
      </c>
      <c r="E247" s="7" t="s">
        <v>48</v>
      </c>
      <c r="F247" s="7" t="s">
        <v>49</v>
      </c>
      <c r="G247" s="7" t="s">
        <v>2161</v>
      </c>
      <c r="H247" s="7" t="s">
        <v>2970</v>
      </c>
      <c r="I247" s="9" t="s">
        <v>2971</v>
      </c>
    </row>
    <row r="248" spans="1:9" ht="30" customHeight="1" x14ac:dyDescent="0.25">
      <c r="A248" s="6" t="s">
        <v>2972</v>
      </c>
      <c r="B248" s="6" t="s">
        <v>2973</v>
      </c>
      <c r="C248" s="7" t="s">
        <v>2974</v>
      </c>
      <c r="D248" s="7">
        <v>2024</v>
      </c>
      <c r="E248" s="7" t="s">
        <v>126</v>
      </c>
      <c r="F248" s="7" t="s">
        <v>49</v>
      </c>
      <c r="G248" s="7" t="s">
        <v>2161</v>
      </c>
      <c r="H248" s="7" t="s">
        <v>2975</v>
      </c>
      <c r="I248" s="9" t="s">
        <v>2976</v>
      </c>
    </row>
    <row r="249" spans="1:9" ht="30" customHeight="1" x14ac:dyDescent="0.25">
      <c r="A249" s="6" t="s">
        <v>1319</v>
      </c>
      <c r="B249" s="6" t="s">
        <v>2235</v>
      </c>
      <c r="C249" s="7" t="s">
        <v>2236</v>
      </c>
      <c r="D249" s="7">
        <v>2023</v>
      </c>
      <c r="E249" s="7" t="s">
        <v>48</v>
      </c>
      <c r="F249" s="7" t="s">
        <v>49</v>
      </c>
      <c r="G249" s="7" t="s">
        <v>2161</v>
      </c>
      <c r="H249" s="7" t="s">
        <v>2977</v>
      </c>
      <c r="I249" s="9" t="s">
        <v>2978</v>
      </c>
    </row>
    <row r="250" spans="1:9" ht="30" customHeight="1" x14ac:dyDescent="0.25">
      <c r="A250" s="6" t="s">
        <v>2979</v>
      </c>
      <c r="B250" s="6" t="s">
        <v>2980</v>
      </c>
      <c r="C250" s="7" t="s">
        <v>2981</v>
      </c>
      <c r="D250" s="7">
        <v>2023</v>
      </c>
      <c r="E250" s="7" t="s">
        <v>48</v>
      </c>
      <c r="F250" s="7" t="s">
        <v>49</v>
      </c>
      <c r="G250" s="7" t="s">
        <v>2161</v>
      </c>
      <c r="H250" s="7" t="s">
        <v>2982</v>
      </c>
      <c r="I250" s="9" t="s">
        <v>2983</v>
      </c>
    </row>
    <row r="251" spans="1:9" ht="30" customHeight="1" x14ac:dyDescent="0.25">
      <c r="A251" s="6" t="s">
        <v>2984</v>
      </c>
      <c r="B251" s="6" t="s">
        <v>2568</v>
      </c>
      <c r="C251" s="7" t="s">
        <v>2985</v>
      </c>
      <c r="D251" s="7">
        <v>2025</v>
      </c>
      <c r="E251" s="7" t="s">
        <v>48</v>
      </c>
      <c r="F251" s="7" t="s">
        <v>49</v>
      </c>
      <c r="G251" s="7" t="s">
        <v>2161</v>
      </c>
      <c r="H251" s="7" t="s">
        <v>2986</v>
      </c>
      <c r="I251" s="9" t="s">
        <v>2987</v>
      </c>
    </row>
    <row r="252" spans="1:9" ht="30" customHeight="1" x14ac:dyDescent="0.25">
      <c r="A252" s="6" t="s">
        <v>2988</v>
      </c>
      <c r="B252" s="6" t="s">
        <v>2165</v>
      </c>
      <c r="C252" s="7" t="s">
        <v>2989</v>
      </c>
      <c r="D252" s="7">
        <v>2015</v>
      </c>
      <c r="E252" s="7" t="s">
        <v>48</v>
      </c>
      <c r="F252" s="7" t="s">
        <v>49</v>
      </c>
      <c r="G252" s="7" t="s">
        <v>2161</v>
      </c>
      <c r="H252" s="7" t="s">
        <v>2990</v>
      </c>
      <c r="I252" s="9" t="s">
        <v>2991</v>
      </c>
    </row>
    <row r="253" spans="1:9" ht="30" customHeight="1" x14ac:dyDescent="0.25">
      <c r="A253" s="6" t="s">
        <v>2992</v>
      </c>
      <c r="B253" s="6" t="s">
        <v>2466</v>
      </c>
      <c r="C253" s="7" t="s">
        <v>2993</v>
      </c>
      <c r="D253" s="7">
        <v>2014</v>
      </c>
      <c r="E253" s="7" t="s">
        <v>66</v>
      </c>
      <c r="F253" s="7" t="s">
        <v>49</v>
      </c>
      <c r="G253" s="7" t="s">
        <v>2161</v>
      </c>
      <c r="H253" s="7" t="s">
        <v>2994</v>
      </c>
      <c r="I253" s="9" t="s">
        <v>2995</v>
      </c>
    </row>
    <row r="254" spans="1:9" ht="30" customHeight="1" x14ac:dyDescent="0.25">
      <c r="A254" s="6" t="s">
        <v>2996</v>
      </c>
      <c r="B254" s="6" t="s">
        <v>2189</v>
      </c>
      <c r="C254" s="7" t="s">
        <v>2997</v>
      </c>
      <c r="D254" s="7">
        <v>2014</v>
      </c>
      <c r="E254" s="7" t="s">
        <v>66</v>
      </c>
      <c r="F254" s="7" t="s">
        <v>49</v>
      </c>
      <c r="G254" s="7" t="s">
        <v>2161</v>
      </c>
      <c r="H254" s="7" t="s">
        <v>2998</v>
      </c>
      <c r="I254" s="9" t="s">
        <v>2999</v>
      </c>
    </row>
    <row r="255" spans="1:9" ht="30" customHeight="1" x14ac:dyDescent="0.25">
      <c r="A255" s="6" t="s">
        <v>3000</v>
      </c>
      <c r="B255" s="6" t="s">
        <v>2216</v>
      </c>
      <c r="C255" s="7" t="s">
        <v>2395</v>
      </c>
      <c r="D255" s="7">
        <v>2014</v>
      </c>
      <c r="E255" s="7" t="s">
        <v>126</v>
      </c>
      <c r="F255" s="7" t="s">
        <v>49</v>
      </c>
      <c r="G255" s="7" t="s">
        <v>2161</v>
      </c>
      <c r="H255" s="7" t="s">
        <v>3001</v>
      </c>
      <c r="I255" s="9" t="s">
        <v>3002</v>
      </c>
    </row>
    <row r="256" spans="1:9" ht="30" customHeight="1" x14ac:dyDescent="0.25">
      <c r="A256" s="6" t="s">
        <v>3003</v>
      </c>
      <c r="B256" s="6" t="s">
        <v>2216</v>
      </c>
      <c r="C256" s="7" t="s">
        <v>2395</v>
      </c>
      <c r="D256" s="7">
        <v>2014</v>
      </c>
      <c r="E256" s="7" t="s">
        <v>126</v>
      </c>
      <c r="F256" s="7" t="s">
        <v>49</v>
      </c>
      <c r="G256" s="7" t="s">
        <v>2161</v>
      </c>
      <c r="H256" s="7" t="s">
        <v>3004</v>
      </c>
      <c r="I256" s="9" t="s">
        <v>3005</v>
      </c>
    </row>
    <row r="257" spans="1:9" ht="30" customHeight="1" x14ac:dyDescent="0.25">
      <c r="A257" s="6" t="s">
        <v>3006</v>
      </c>
      <c r="B257" s="6" t="s">
        <v>2439</v>
      </c>
      <c r="C257" s="7" t="s">
        <v>3007</v>
      </c>
      <c r="D257" s="7">
        <v>2015</v>
      </c>
      <c r="E257" s="7" t="s">
        <v>66</v>
      </c>
      <c r="F257" s="7" t="s">
        <v>58</v>
      </c>
      <c r="G257" s="7" t="s">
        <v>2161</v>
      </c>
      <c r="H257" s="7" t="s">
        <v>3008</v>
      </c>
      <c r="I257" s="9" t="s">
        <v>3009</v>
      </c>
    </row>
    <row r="258" spans="1:9" ht="30" customHeight="1" x14ac:dyDescent="0.25">
      <c r="A258" s="6" t="s">
        <v>3010</v>
      </c>
      <c r="B258" s="6" t="s">
        <v>2568</v>
      </c>
      <c r="C258" s="7" t="s">
        <v>3011</v>
      </c>
      <c r="D258" s="7">
        <v>2014</v>
      </c>
      <c r="E258" s="7" t="s">
        <v>48</v>
      </c>
      <c r="F258" s="7" t="s">
        <v>58</v>
      </c>
      <c r="G258" s="7" t="s">
        <v>2161</v>
      </c>
      <c r="H258" s="7" t="s">
        <v>2198</v>
      </c>
      <c r="I258" s="9" t="s">
        <v>3012</v>
      </c>
    </row>
    <row r="259" spans="1:9" ht="30" customHeight="1" x14ac:dyDescent="0.25">
      <c r="A259" s="6" t="s">
        <v>3013</v>
      </c>
      <c r="B259" s="6" t="s">
        <v>2165</v>
      </c>
      <c r="C259" s="7" t="s">
        <v>3014</v>
      </c>
      <c r="D259" s="7">
        <v>2018</v>
      </c>
      <c r="E259" s="7" t="s">
        <v>48</v>
      </c>
      <c r="F259" s="7" t="s">
        <v>49</v>
      </c>
      <c r="G259" s="7" t="s">
        <v>2161</v>
      </c>
      <c r="H259" s="7" t="s">
        <v>3015</v>
      </c>
      <c r="I259" s="9" t="s">
        <v>3016</v>
      </c>
    </row>
    <row r="260" spans="1:9" ht="30" customHeight="1" x14ac:dyDescent="0.25">
      <c r="A260" s="6" t="s">
        <v>3017</v>
      </c>
      <c r="B260" s="6" t="s">
        <v>2189</v>
      </c>
      <c r="C260" s="7" t="s">
        <v>2228</v>
      </c>
      <c r="D260" s="7">
        <v>2018</v>
      </c>
      <c r="E260" s="7" t="s">
        <v>66</v>
      </c>
      <c r="F260" s="7" t="s">
        <v>49</v>
      </c>
      <c r="G260" s="7" t="s">
        <v>2161</v>
      </c>
      <c r="H260" s="7" t="s">
        <v>3018</v>
      </c>
      <c r="I260" s="9" t="s">
        <v>3019</v>
      </c>
    </row>
    <row r="261" spans="1:9" ht="30" customHeight="1" x14ac:dyDescent="0.25">
      <c r="A261" s="6" t="s">
        <v>3020</v>
      </c>
      <c r="B261" s="6" t="s">
        <v>2980</v>
      </c>
      <c r="C261" s="7" t="s">
        <v>3021</v>
      </c>
      <c r="D261" s="7">
        <v>2018</v>
      </c>
      <c r="E261" s="7" t="s">
        <v>48</v>
      </c>
      <c r="F261" s="7" t="s">
        <v>49</v>
      </c>
      <c r="G261" s="7" t="s">
        <v>2161</v>
      </c>
      <c r="H261" s="7" t="s">
        <v>3022</v>
      </c>
      <c r="I261" s="9" t="s">
        <v>3023</v>
      </c>
    </row>
    <row r="262" spans="1:9" ht="30" customHeight="1" x14ac:dyDescent="0.25">
      <c r="A262" s="6" t="s">
        <v>3024</v>
      </c>
      <c r="B262" s="6" t="s">
        <v>2189</v>
      </c>
      <c r="C262" s="7" t="s">
        <v>2228</v>
      </c>
      <c r="D262" s="7">
        <v>2018</v>
      </c>
      <c r="E262" s="7" t="s">
        <v>66</v>
      </c>
      <c r="F262" s="7" t="s">
        <v>58</v>
      </c>
      <c r="G262" s="7" t="s">
        <v>2161</v>
      </c>
      <c r="H262" s="7" t="s">
        <v>2198</v>
      </c>
      <c r="I262" s="9" t="s">
        <v>3025</v>
      </c>
    </row>
    <row r="263" spans="1:9" ht="30" customHeight="1" x14ac:dyDescent="0.25">
      <c r="A263" s="6" t="s">
        <v>3026</v>
      </c>
      <c r="B263" s="6" t="s">
        <v>2183</v>
      </c>
      <c r="C263" s="7" t="s">
        <v>3027</v>
      </c>
      <c r="D263" s="7">
        <v>2019</v>
      </c>
      <c r="E263" s="7" t="s">
        <v>48</v>
      </c>
      <c r="F263" s="7" t="s">
        <v>58</v>
      </c>
      <c r="G263" s="7" t="s">
        <v>2161</v>
      </c>
      <c r="H263" s="7" t="s">
        <v>2198</v>
      </c>
      <c r="I263" s="9" t="s">
        <v>3028</v>
      </c>
    </row>
    <row r="264" spans="1:9" ht="30" customHeight="1" x14ac:dyDescent="0.25">
      <c r="A264" s="6" t="s">
        <v>3029</v>
      </c>
      <c r="B264" s="6" t="s">
        <v>2568</v>
      </c>
      <c r="C264" s="7" t="s">
        <v>3030</v>
      </c>
      <c r="D264" s="7">
        <v>2018</v>
      </c>
      <c r="E264" s="7" t="s">
        <v>48</v>
      </c>
      <c r="F264" s="7" t="s">
        <v>49</v>
      </c>
      <c r="G264" s="7" t="s">
        <v>2161</v>
      </c>
      <c r="H264" s="7" t="s">
        <v>3031</v>
      </c>
      <c r="I264" s="9" t="s">
        <v>3032</v>
      </c>
    </row>
    <row r="265" spans="1:9" ht="30" customHeight="1" x14ac:dyDescent="0.25">
      <c r="A265" s="6" t="s">
        <v>3033</v>
      </c>
      <c r="B265" s="6" t="s">
        <v>2165</v>
      </c>
      <c r="C265" s="7" t="s">
        <v>3034</v>
      </c>
      <c r="D265" s="7">
        <v>2022</v>
      </c>
      <c r="E265" s="7" t="s">
        <v>48</v>
      </c>
      <c r="F265" s="7" t="s">
        <v>58</v>
      </c>
      <c r="G265" s="7" t="s">
        <v>2161</v>
      </c>
      <c r="H265" s="7" t="s">
        <v>2198</v>
      </c>
      <c r="I265" s="9" t="s">
        <v>3035</v>
      </c>
    </row>
    <row r="266" spans="1:9" ht="30" customHeight="1" x14ac:dyDescent="0.25">
      <c r="A266" s="6" t="s">
        <v>3036</v>
      </c>
      <c r="B266" s="6" t="s">
        <v>2189</v>
      </c>
      <c r="C266" s="7" t="s">
        <v>2239</v>
      </c>
      <c r="D266" s="7">
        <v>2022</v>
      </c>
      <c r="E266" s="7" t="s">
        <v>66</v>
      </c>
      <c r="F266" s="7" t="s">
        <v>49</v>
      </c>
      <c r="G266" s="7" t="s">
        <v>2161</v>
      </c>
      <c r="H266" s="7" t="s">
        <v>3037</v>
      </c>
      <c r="I266" s="9" t="s">
        <v>3038</v>
      </c>
    </row>
    <row r="267" spans="1:9" ht="30" customHeight="1" x14ac:dyDescent="0.25">
      <c r="A267" s="6" t="s">
        <v>3039</v>
      </c>
      <c r="B267" s="6" t="s">
        <v>2531</v>
      </c>
      <c r="C267" s="7" t="s">
        <v>2969</v>
      </c>
      <c r="D267" s="7">
        <v>2022</v>
      </c>
      <c r="E267" s="7" t="s">
        <v>48</v>
      </c>
      <c r="F267" s="7" t="s">
        <v>58</v>
      </c>
      <c r="G267" s="7" t="s">
        <v>2161</v>
      </c>
      <c r="H267" s="7" t="s">
        <v>2198</v>
      </c>
      <c r="I267" s="9" t="s">
        <v>3040</v>
      </c>
    </row>
    <row r="268" spans="1:9" ht="30" customHeight="1" x14ac:dyDescent="0.25">
      <c r="A268" s="6" t="s">
        <v>3041</v>
      </c>
      <c r="B268" s="6" t="s">
        <v>2980</v>
      </c>
      <c r="C268" s="7" t="s">
        <v>3042</v>
      </c>
      <c r="D268" s="7">
        <v>2022</v>
      </c>
      <c r="E268" s="7" t="s">
        <v>48</v>
      </c>
      <c r="F268" s="7" t="s">
        <v>49</v>
      </c>
      <c r="G268" s="7" t="s">
        <v>2161</v>
      </c>
      <c r="H268" s="7" t="s">
        <v>3043</v>
      </c>
      <c r="I268" s="9" t="s">
        <v>3044</v>
      </c>
    </row>
    <row r="269" spans="1:9" ht="30" customHeight="1" x14ac:dyDescent="0.25">
      <c r="A269" s="6" t="s">
        <v>3045</v>
      </c>
      <c r="B269" s="6" t="s">
        <v>2189</v>
      </c>
      <c r="C269" s="7" t="s">
        <v>2239</v>
      </c>
      <c r="D269" s="7">
        <v>2022</v>
      </c>
      <c r="E269" s="7" t="s">
        <v>66</v>
      </c>
      <c r="F269" s="7" t="s">
        <v>58</v>
      </c>
      <c r="G269" s="7" t="s">
        <v>2161</v>
      </c>
      <c r="H269" s="7" t="s">
        <v>2198</v>
      </c>
      <c r="I269" s="9" t="s">
        <v>3046</v>
      </c>
    </row>
    <row r="270" spans="1:9" ht="30" customHeight="1" x14ac:dyDescent="0.25">
      <c r="A270" s="6" t="s">
        <v>3047</v>
      </c>
      <c r="B270" s="6" t="s">
        <v>2568</v>
      </c>
      <c r="C270" s="7" t="s">
        <v>3048</v>
      </c>
      <c r="D270" s="7">
        <v>2022</v>
      </c>
      <c r="E270" s="7" t="s">
        <v>48</v>
      </c>
      <c r="F270" s="7" t="s">
        <v>49</v>
      </c>
      <c r="G270" s="7" t="s">
        <v>2161</v>
      </c>
      <c r="H270" s="7" t="s">
        <v>3049</v>
      </c>
      <c r="I270" s="9" t="s">
        <v>3050</v>
      </c>
    </row>
    <row r="271" spans="1:9" ht="30" customHeight="1" x14ac:dyDescent="0.25">
      <c r="A271" s="6" t="s">
        <v>3051</v>
      </c>
      <c r="B271" s="6" t="s">
        <v>2189</v>
      </c>
      <c r="C271" s="7" t="s">
        <v>2239</v>
      </c>
      <c r="D271" s="7">
        <v>2022</v>
      </c>
      <c r="E271" s="7" t="s">
        <v>66</v>
      </c>
      <c r="F271" s="7" t="s">
        <v>49</v>
      </c>
      <c r="G271" s="7" t="s">
        <v>2161</v>
      </c>
      <c r="H271" s="7" t="s">
        <v>3052</v>
      </c>
      <c r="I271" s="9" t="s">
        <v>3053</v>
      </c>
    </row>
    <row r="272" spans="1:9" ht="30" customHeight="1" x14ac:dyDescent="0.25">
      <c r="A272" s="6" t="s">
        <v>3054</v>
      </c>
      <c r="B272" s="6" t="s">
        <v>2216</v>
      </c>
      <c r="C272" s="7" t="s">
        <v>3055</v>
      </c>
      <c r="D272" s="7">
        <v>2022</v>
      </c>
      <c r="E272" s="7" t="s">
        <v>126</v>
      </c>
      <c r="F272" s="7" t="s">
        <v>49</v>
      </c>
      <c r="G272" s="7" t="s">
        <v>2161</v>
      </c>
      <c r="H272" s="7" t="s">
        <v>3056</v>
      </c>
      <c r="I272" s="9" t="s">
        <v>3057</v>
      </c>
    </row>
    <row r="273" spans="1:9" ht="30" customHeight="1" x14ac:dyDescent="0.25">
      <c r="A273" s="6" t="s">
        <v>3058</v>
      </c>
      <c r="B273" s="6" t="s">
        <v>2235</v>
      </c>
      <c r="C273" s="7" t="s">
        <v>2259</v>
      </c>
      <c r="D273" s="7">
        <v>2026</v>
      </c>
      <c r="E273" s="7" t="s">
        <v>66</v>
      </c>
      <c r="F273" s="7" t="s">
        <v>58</v>
      </c>
      <c r="G273" s="7" t="s">
        <v>2161</v>
      </c>
      <c r="H273" s="7" t="s">
        <v>2198</v>
      </c>
      <c r="I273" s="9" t="s">
        <v>3059</v>
      </c>
    </row>
    <row r="274" spans="1:9" ht="30" customHeight="1" x14ac:dyDescent="0.25">
      <c r="A274" s="6" t="s">
        <v>3060</v>
      </c>
      <c r="B274" s="6" t="s">
        <v>2908</v>
      </c>
      <c r="C274" s="7" t="s">
        <v>3061</v>
      </c>
      <c r="D274" s="7">
        <v>2021</v>
      </c>
      <c r="E274" s="7" t="s">
        <v>66</v>
      </c>
      <c r="F274" s="7" t="s">
        <v>49</v>
      </c>
      <c r="G274" s="7" t="s">
        <v>2161</v>
      </c>
      <c r="H274" s="7" t="s">
        <v>3062</v>
      </c>
      <c r="I274" s="9" t="s">
        <v>3063</v>
      </c>
    </row>
    <row r="275" spans="1:9" ht="30" customHeight="1" x14ac:dyDescent="0.25">
      <c r="A275" s="6" t="s">
        <v>3064</v>
      </c>
      <c r="B275" s="6" t="s">
        <v>2212</v>
      </c>
      <c r="C275" s="7" t="s">
        <v>2213</v>
      </c>
      <c r="D275" s="7">
        <v>2023</v>
      </c>
      <c r="E275" s="7" t="s">
        <v>48</v>
      </c>
      <c r="F275" s="7" t="s">
        <v>58</v>
      </c>
      <c r="G275" s="7" t="s">
        <v>2161</v>
      </c>
      <c r="H275" s="7" t="s">
        <v>2198</v>
      </c>
      <c r="I275" s="9" t="s">
        <v>3065</v>
      </c>
    </row>
    <row r="276" spans="1:9" ht="30" customHeight="1" x14ac:dyDescent="0.25">
      <c r="A276" s="6" t="s">
        <v>3066</v>
      </c>
      <c r="B276" s="6" t="s">
        <v>2189</v>
      </c>
      <c r="C276" s="7" t="s">
        <v>2190</v>
      </c>
      <c r="D276" s="7">
        <v>2020</v>
      </c>
      <c r="E276" s="7" t="s">
        <v>66</v>
      </c>
      <c r="F276" s="7" t="s">
        <v>49</v>
      </c>
      <c r="G276" s="7" t="s">
        <v>2161</v>
      </c>
      <c r="H276" s="7" t="s">
        <v>3067</v>
      </c>
      <c r="I276" s="9" t="s">
        <v>3068</v>
      </c>
    </row>
    <row r="277" spans="1:9" ht="30" customHeight="1" x14ac:dyDescent="0.25">
      <c r="A277" s="6" t="s">
        <v>3069</v>
      </c>
      <c r="B277" s="6" t="s">
        <v>2538</v>
      </c>
      <c r="C277" s="7" t="s">
        <v>3070</v>
      </c>
      <c r="D277" s="7">
        <v>2023</v>
      </c>
      <c r="E277" s="7" t="s">
        <v>48</v>
      </c>
      <c r="F277" s="7" t="s">
        <v>58</v>
      </c>
      <c r="G277" s="7" t="s">
        <v>2161</v>
      </c>
      <c r="H277" s="7" t="s">
        <v>2198</v>
      </c>
      <c r="I277" s="9" t="s">
        <v>3071</v>
      </c>
    </row>
    <row r="278" spans="1:9" ht="30" customHeight="1" x14ac:dyDescent="0.25">
      <c r="A278" s="6" t="s">
        <v>3072</v>
      </c>
      <c r="B278" s="6" t="s">
        <v>2538</v>
      </c>
      <c r="C278" s="7" t="s">
        <v>3073</v>
      </c>
      <c r="D278" s="7">
        <v>2022</v>
      </c>
      <c r="E278" s="7" t="s">
        <v>48</v>
      </c>
      <c r="F278" s="7" t="s">
        <v>49</v>
      </c>
      <c r="G278" s="7" t="s">
        <v>2161</v>
      </c>
      <c r="H278" s="7" t="s">
        <v>3074</v>
      </c>
      <c r="I278" s="9" t="s">
        <v>3075</v>
      </c>
    </row>
    <row r="279" spans="1:9" ht="30" customHeight="1" x14ac:dyDescent="0.25">
      <c r="A279" s="6" t="s">
        <v>3076</v>
      </c>
      <c r="B279" s="6" t="s">
        <v>2332</v>
      </c>
      <c r="C279" s="7" t="s">
        <v>3077</v>
      </c>
      <c r="D279" s="7">
        <v>2022</v>
      </c>
      <c r="E279" s="7" t="s">
        <v>66</v>
      </c>
      <c r="F279" s="7" t="s">
        <v>58</v>
      </c>
      <c r="G279" s="7" t="s">
        <v>2161</v>
      </c>
      <c r="H279" s="7" t="s">
        <v>2198</v>
      </c>
      <c r="I279" s="9" t="s">
        <v>3078</v>
      </c>
    </row>
    <row r="280" spans="1:9" ht="30" customHeight="1" x14ac:dyDescent="0.25">
      <c r="A280" s="6" t="s">
        <v>3079</v>
      </c>
      <c r="B280" s="6" t="s">
        <v>2189</v>
      </c>
      <c r="C280" s="7" t="s">
        <v>3080</v>
      </c>
      <c r="D280" s="7">
        <v>2021</v>
      </c>
      <c r="E280" s="7" t="s">
        <v>66</v>
      </c>
      <c r="F280" s="7" t="s">
        <v>49</v>
      </c>
      <c r="G280" s="7" t="s">
        <v>2161</v>
      </c>
      <c r="H280" s="7" t="s">
        <v>3081</v>
      </c>
      <c r="I280" s="9" t="s">
        <v>3082</v>
      </c>
    </row>
    <row r="281" spans="1:9" ht="30" customHeight="1" x14ac:dyDescent="0.25">
      <c r="A281" s="6" t="s">
        <v>3083</v>
      </c>
      <c r="B281" s="6" t="s">
        <v>2189</v>
      </c>
      <c r="C281" s="7" t="s">
        <v>2641</v>
      </c>
      <c r="D281" s="7">
        <v>2023</v>
      </c>
      <c r="E281" s="7" t="s">
        <v>66</v>
      </c>
      <c r="F281" s="7" t="s">
        <v>49</v>
      </c>
      <c r="G281" s="7" t="s">
        <v>2161</v>
      </c>
      <c r="H281" s="7" t="s">
        <v>3084</v>
      </c>
      <c r="I281" s="9" t="s">
        <v>3085</v>
      </c>
    </row>
    <row r="282" spans="1:9" ht="30" customHeight="1" x14ac:dyDescent="0.25">
      <c r="A282" s="6" t="s">
        <v>3086</v>
      </c>
      <c r="B282" s="6" t="s">
        <v>2332</v>
      </c>
      <c r="C282" s="7" t="s">
        <v>3087</v>
      </c>
      <c r="D282" s="7">
        <v>2026</v>
      </c>
      <c r="E282" s="7" t="s">
        <v>66</v>
      </c>
      <c r="F282" s="7" t="s">
        <v>58</v>
      </c>
      <c r="G282" s="7" t="s">
        <v>2161</v>
      </c>
      <c r="H282" s="7" t="s">
        <v>2198</v>
      </c>
      <c r="I282" s="9" t="s">
        <v>3088</v>
      </c>
    </row>
    <row r="283" spans="1:9" ht="30" customHeight="1" x14ac:dyDescent="0.25">
      <c r="A283" s="6" t="s">
        <v>3089</v>
      </c>
      <c r="B283" s="6" t="s">
        <v>2216</v>
      </c>
      <c r="C283" s="7" t="s">
        <v>3090</v>
      </c>
      <c r="D283" s="7">
        <v>2026</v>
      </c>
      <c r="E283" s="7" t="s">
        <v>66</v>
      </c>
      <c r="F283" s="7" t="s">
        <v>58</v>
      </c>
      <c r="G283" s="7" t="s">
        <v>2161</v>
      </c>
      <c r="H283" s="7" t="s">
        <v>2198</v>
      </c>
      <c r="I283" s="9" t="s">
        <v>3091</v>
      </c>
    </row>
    <row r="284" spans="1:9" ht="30" customHeight="1" x14ac:dyDescent="0.25">
      <c r="A284" s="6" t="s">
        <v>3092</v>
      </c>
      <c r="B284" s="6" t="s">
        <v>2882</v>
      </c>
      <c r="C284" s="7" t="s">
        <v>2883</v>
      </c>
      <c r="D284" s="7">
        <v>2026</v>
      </c>
      <c r="E284" s="7" t="s">
        <v>48</v>
      </c>
      <c r="F284" s="7" t="s">
        <v>58</v>
      </c>
      <c r="G284" s="7" t="s">
        <v>2161</v>
      </c>
      <c r="H284" s="7" t="s">
        <v>2198</v>
      </c>
      <c r="I284" s="9" t="s">
        <v>3093</v>
      </c>
    </row>
    <row r="285" spans="1:9" ht="30" customHeight="1" x14ac:dyDescent="0.25">
      <c r="A285" s="6" t="s">
        <v>3094</v>
      </c>
      <c r="B285" s="6" t="s">
        <v>2568</v>
      </c>
      <c r="C285" s="7" t="s">
        <v>3095</v>
      </c>
      <c r="D285" s="7">
        <v>2024</v>
      </c>
      <c r="E285" s="7" t="s">
        <v>48</v>
      </c>
      <c r="F285" s="7" t="s">
        <v>49</v>
      </c>
      <c r="G285" s="7" t="s">
        <v>2161</v>
      </c>
      <c r="H285" s="7" t="s">
        <v>3096</v>
      </c>
      <c r="I285" s="9" t="s">
        <v>3097</v>
      </c>
    </row>
    <row r="286" spans="1:9" ht="30" customHeight="1" x14ac:dyDescent="0.25">
      <c r="A286" s="6" t="s">
        <v>3098</v>
      </c>
      <c r="B286" s="6" t="s">
        <v>2750</v>
      </c>
      <c r="C286" s="7" t="s">
        <v>3099</v>
      </c>
      <c r="D286" s="7">
        <v>2008</v>
      </c>
      <c r="E286" s="7" t="s">
        <v>48</v>
      </c>
      <c r="F286" s="7" t="s">
        <v>58</v>
      </c>
      <c r="G286" s="7" t="s">
        <v>2161</v>
      </c>
      <c r="H286" s="7" t="s">
        <v>2198</v>
      </c>
      <c r="I286" s="9" t="s">
        <v>3100</v>
      </c>
    </row>
    <row r="287" spans="1:9" ht="30" customHeight="1" x14ac:dyDescent="0.25">
      <c r="A287" s="6" t="s">
        <v>1245</v>
      </c>
      <c r="B287" s="6" t="s">
        <v>2216</v>
      </c>
      <c r="C287" s="7" t="s">
        <v>3101</v>
      </c>
      <c r="D287" s="7">
        <v>2018</v>
      </c>
      <c r="E287" s="7" t="s">
        <v>66</v>
      </c>
      <c r="F287" s="7" t="s">
        <v>49</v>
      </c>
      <c r="G287" s="7" t="s">
        <v>2161</v>
      </c>
      <c r="H287" s="7" t="s">
        <v>3102</v>
      </c>
      <c r="I287" s="9" t="s">
        <v>3103</v>
      </c>
    </row>
    <row r="288" spans="1:9" ht="30" customHeight="1" x14ac:dyDescent="0.25">
      <c r="A288" s="6" t="s">
        <v>3104</v>
      </c>
      <c r="B288" s="6" t="s">
        <v>2364</v>
      </c>
      <c r="C288" s="7" t="s">
        <v>3105</v>
      </c>
      <c r="D288" s="7">
        <v>2014</v>
      </c>
      <c r="E288" s="7" t="s">
        <v>48</v>
      </c>
      <c r="F288" s="7" t="s">
        <v>49</v>
      </c>
      <c r="G288" s="7" t="s">
        <v>2161</v>
      </c>
      <c r="H288" s="7" t="s">
        <v>3106</v>
      </c>
      <c r="I288" s="9" t="s">
        <v>3107</v>
      </c>
    </row>
    <row r="289" spans="1:9" ht="30" customHeight="1" x14ac:dyDescent="0.25">
      <c r="A289" s="6" t="s">
        <v>3108</v>
      </c>
      <c r="B289" s="6" t="s">
        <v>2750</v>
      </c>
      <c r="C289" s="7" t="s">
        <v>3109</v>
      </c>
      <c r="D289" s="7">
        <v>2026</v>
      </c>
      <c r="E289" s="7" t="s">
        <v>48</v>
      </c>
      <c r="F289" s="7" t="s">
        <v>58</v>
      </c>
      <c r="G289" s="7" t="s">
        <v>2161</v>
      </c>
      <c r="H289" s="7" t="s">
        <v>2198</v>
      </c>
      <c r="I289" s="9" t="s">
        <v>3110</v>
      </c>
    </row>
    <row r="290" spans="1:9" ht="30" customHeight="1" x14ac:dyDescent="0.25">
      <c r="A290" s="6" t="s">
        <v>3111</v>
      </c>
      <c r="B290" s="6" t="s">
        <v>2189</v>
      </c>
      <c r="C290" s="7" t="s">
        <v>2197</v>
      </c>
      <c r="D290" s="7">
        <v>2015</v>
      </c>
      <c r="E290" s="7" t="s">
        <v>66</v>
      </c>
      <c r="F290" s="7" t="s">
        <v>49</v>
      </c>
      <c r="G290" s="7" t="s">
        <v>2161</v>
      </c>
      <c r="H290" s="7" t="s">
        <v>3112</v>
      </c>
      <c r="I290" s="9" t="s">
        <v>3113</v>
      </c>
    </row>
    <row r="291" spans="1:9" ht="30" customHeight="1" x14ac:dyDescent="0.25">
      <c r="A291" s="6" t="s">
        <v>3114</v>
      </c>
      <c r="B291" s="6" t="s">
        <v>2538</v>
      </c>
      <c r="C291" s="7" t="s">
        <v>2697</v>
      </c>
      <c r="D291" s="7">
        <v>2024</v>
      </c>
      <c r="E291" s="7" t="s">
        <v>48</v>
      </c>
      <c r="F291" s="7" t="s">
        <v>49</v>
      </c>
      <c r="G291" s="7" t="s">
        <v>2161</v>
      </c>
      <c r="H291" s="7" t="s">
        <v>3115</v>
      </c>
      <c r="I291" s="9" t="s">
        <v>3116</v>
      </c>
    </row>
    <row r="292" spans="1:9" ht="30" customHeight="1" x14ac:dyDescent="0.25">
      <c r="A292" s="6" t="s">
        <v>3117</v>
      </c>
      <c r="B292" s="6" t="s">
        <v>2538</v>
      </c>
      <c r="C292" s="7" t="s">
        <v>2697</v>
      </c>
      <c r="D292" s="7">
        <v>2024</v>
      </c>
      <c r="E292" s="7" t="s">
        <v>48</v>
      </c>
      <c r="F292" s="7" t="s">
        <v>58</v>
      </c>
      <c r="G292" s="7" t="s">
        <v>2161</v>
      </c>
      <c r="H292" s="7" t="s">
        <v>2198</v>
      </c>
      <c r="I292" s="9" t="s">
        <v>3118</v>
      </c>
    </row>
    <row r="293" spans="1:9" ht="30" customHeight="1" x14ac:dyDescent="0.25">
      <c r="A293" s="6" t="s">
        <v>3119</v>
      </c>
      <c r="B293" s="6" t="s">
        <v>2466</v>
      </c>
      <c r="C293" s="7" t="s">
        <v>3120</v>
      </c>
      <c r="D293" s="7">
        <v>2025</v>
      </c>
      <c r="E293" s="7" t="s">
        <v>66</v>
      </c>
      <c r="F293" s="7" t="s">
        <v>49</v>
      </c>
      <c r="G293" s="7" t="s">
        <v>2161</v>
      </c>
      <c r="H293" s="7" t="s">
        <v>3121</v>
      </c>
      <c r="I293" s="9" t="s">
        <v>3122</v>
      </c>
    </row>
    <row r="294" spans="1:9" ht="30" customHeight="1" x14ac:dyDescent="0.25">
      <c r="A294" s="6" t="s">
        <v>3123</v>
      </c>
      <c r="B294" s="6" t="s">
        <v>2439</v>
      </c>
      <c r="C294" s="7" t="s">
        <v>3124</v>
      </c>
      <c r="D294" s="7" t="s">
        <v>2205</v>
      </c>
      <c r="E294" s="7" t="s">
        <v>126</v>
      </c>
      <c r="F294" s="7" t="s">
        <v>58</v>
      </c>
      <c r="G294" s="7" t="s">
        <v>2161</v>
      </c>
      <c r="H294" s="7" t="s">
        <v>2198</v>
      </c>
      <c r="I294" s="9" t="s">
        <v>3125</v>
      </c>
    </row>
    <row r="295" spans="1:9" ht="30" customHeight="1" x14ac:dyDescent="0.25">
      <c r="A295" s="6" t="s">
        <v>3126</v>
      </c>
      <c r="B295" s="6" t="s">
        <v>2189</v>
      </c>
      <c r="C295" s="7" t="s">
        <v>2219</v>
      </c>
      <c r="D295" s="7">
        <v>2016</v>
      </c>
      <c r="E295" s="7" t="s">
        <v>66</v>
      </c>
      <c r="F295" s="7" t="s">
        <v>58</v>
      </c>
      <c r="G295" s="7" t="s">
        <v>2161</v>
      </c>
      <c r="H295" s="7" t="s">
        <v>3127</v>
      </c>
      <c r="I295" s="9" t="s">
        <v>3128</v>
      </c>
    </row>
    <row r="296" spans="1:9" ht="30" customHeight="1" x14ac:dyDescent="0.25">
      <c r="A296" s="6" t="s">
        <v>3129</v>
      </c>
      <c r="B296" s="6" t="s">
        <v>2285</v>
      </c>
      <c r="C296" s="7" t="s">
        <v>3130</v>
      </c>
      <c r="D296" s="7">
        <v>2017</v>
      </c>
      <c r="E296" s="7" t="s">
        <v>66</v>
      </c>
      <c r="F296" s="7" t="s">
        <v>49</v>
      </c>
      <c r="G296" s="7" t="s">
        <v>2161</v>
      </c>
      <c r="H296" s="7" t="s">
        <v>3131</v>
      </c>
      <c r="I296" s="9" t="s">
        <v>3132</v>
      </c>
    </row>
    <row r="297" spans="1:9" ht="30" customHeight="1" x14ac:dyDescent="0.25">
      <c r="A297" s="6" t="s">
        <v>3133</v>
      </c>
      <c r="B297" s="6" t="s">
        <v>2855</v>
      </c>
      <c r="C297" s="7" t="s">
        <v>3134</v>
      </c>
      <c r="D297" s="7">
        <v>2017</v>
      </c>
      <c r="E297" s="7" t="s">
        <v>66</v>
      </c>
      <c r="F297" s="7" t="s">
        <v>49</v>
      </c>
      <c r="G297" s="7" t="s">
        <v>2161</v>
      </c>
      <c r="H297" s="7" t="s">
        <v>3135</v>
      </c>
      <c r="I297" s="9" t="s">
        <v>3136</v>
      </c>
    </row>
    <row r="298" spans="1:9" ht="30" customHeight="1" x14ac:dyDescent="0.25">
      <c r="A298" s="6" t="s">
        <v>3137</v>
      </c>
      <c r="B298" s="6" t="s">
        <v>3138</v>
      </c>
      <c r="C298" s="7" t="s">
        <v>3139</v>
      </c>
      <c r="D298" s="7">
        <v>2019</v>
      </c>
      <c r="E298" s="7" t="s">
        <v>126</v>
      </c>
      <c r="F298" s="7" t="s">
        <v>58</v>
      </c>
      <c r="G298" s="7" t="s">
        <v>2161</v>
      </c>
      <c r="H298" s="7" t="s">
        <v>2198</v>
      </c>
      <c r="I298" s="9" t="s">
        <v>3140</v>
      </c>
    </row>
    <row r="299" spans="1:9" ht="30" customHeight="1" x14ac:dyDescent="0.25">
      <c r="A299" s="6" t="s">
        <v>3141</v>
      </c>
      <c r="B299" s="6" t="s">
        <v>2664</v>
      </c>
      <c r="C299" s="7" t="s">
        <v>3142</v>
      </c>
      <c r="D299" s="7">
        <v>2016</v>
      </c>
      <c r="E299" s="7" t="s">
        <v>66</v>
      </c>
      <c r="F299" s="7" t="s">
        <v>109</v>
      </c>
      <c r="G299" s="7" t="s">
        <v>2161</v>
      </c>
      <c r="H299" s="7" t="s">
        <v>3143</v>
      </c>
      <c r="I299" s="9" t="s">
        <v>3144</v>
      </c>
    </row>
  </sheetData>
  <mergeCells count="2">
    <mergeCell ref="A1:I1"/>
    <mergeCell ref="A2:I2"/>
  </mergeCells>
  <phoneticPr fontId="12" type="noConversion"/>
  <conditionalFormatting sqref="F5:F299">
    <cfRule type="expression" dxfId="5" priority="1">
      <formula>OR(F5="Reviewed",F5="Human-Checked",F5="Human-Revised",F5="Supported")</formula>
    </cfRule>
    <cfRule type="expression" dxfId="4" priority="2">
      <formula>OR(F5="Research",F5="AI-Seeded",F5="Candidate",F5="Lead")</formula>
    </cfRule>
    <cfRule type="expression" dxfId="3" priority="3">
      <formula>OR(F5="Needs Second Source",F5="Needs Local Retrieval",F5="Failed")</formula>
    </cfRule>
  </conditionalFormatting>
  <conditionalFormatting sqref="G5:G299">
    <cfRule type="expression" dxfId="2" priority="4">
      <formula>OR(G5="Reviewed",G5="Human-Checked",G5="Human-Revised",G5="Supported")</formula>
    </cfRule>
    <cfRule type="expression" dxfId="1" priority="5">
      <formula>OR(G5="Research",G5="AI-Seeded",G5="Candidate",G5="Lead")</formula>
    </cfRule>
    <cfRule type="expression" dxfId="0" priority="6">
      <formula>OR(G5="Needs Second Source",G5="Needs Local Retrieval",G5="Failed")</formula>
    </cfRule>
  </conditionalFormatting>
  <hyperlinks>
    <hyperlink ref="I5" r:id="rId1" xr:uid="{00000000-0004-0000-0A00-000000000000}"/>
    <hyperlink ref="I6" r:id="rId2" xr:uid="{00000000-0004-0000-0A00-000001000000}"/>
    <hyperlink ref="I7" r:id="rId3" xr:uid="{00000000-0004-0000-0A00-000002000000}"/>
    <hyperlink ref="I8" r:id="rId4" xr:uid="{00000000-0004-0000-0A00-000003000000}"/>
    <hyperlink ref="I9" r:id="rId5" xr:uid="{00000000-0004-0000-0A00-000004000000}"/>
    <hyperlink ref="I10" r:id="rId6" xr:uid="{00000000-0004-0000-0A00-000005000000}"/>
    <hyperlink ref="I11" r:id="rId7" xr:uid="{00000000-0004-0000-0A00-000006000000}"/>
    <hyperlink ref="I12" r:id="rId8" xr:uid="{00000000-0004-0000-0A00-000007000000}"/>
    <hyperlink ref="I13" r:id="rId9" xr:uid="{00000000-0004-0000-0A00-000008000000}"/>
    <hyperlink ref="I14" r:id="rId10" xr:uid="{00000000-0004-0000-0A00-000009000000}"/>
    <hyperlink ref="I15" r:id="rId11" xr:uid="{00000000-0004-0000-0A00-00000A000000}"/>
    <hyperlink ref="I16" r:id="rId12" xr:uid="{00000000-0004-0000-0A00-00000B000000}"/>
    <hyperlink ref="I17" r:id="rId13" xr:uid="{00000000-0004-0000-0A00-00000C000000}"/>
    <hyperlink ref="I18" r:id="rId14" xr:uid="{00000000-0004-0000-0A00-00000D000000}"/>
    <hyperlink ref="I19" r:id="rId15" xr:uid="{00000000-0004-0000-0A00-00000E000000}"/>
    <hyperlink ref="I20" r:id="rId16" xr:uid="{00000000-0004-0000-0A00-00000F000000}"/>
    <hyperlink ref="I21" r:id="rId17" xr:uid="{00000000-0004-0000-0A00-000010000000}"/>
    <hyperlink ref="I22" r:id="rId18" xr:uid="{00000000-0004-0000-0A00-000011000000}"/>
    <hyperlink ref="I23" r:id="rId19" xr:uid="{00000000-0004-0000-0A00-000012000000}"/>
    <hyperlink ref="I24" r:id="rId20" xr:uid="{00000000-0004-0000-0A00-000013000000}"/>
    <hyperlink ref="I25" r:id="rId21" xr:uid="{00000000-0004-0000-0A00-000014000000}"/>
    <hyperlink ref="I26" r:id="rId22" xr:uid="{00000000-0004-0000-0A00-000015000000}"/>
    <hyperlink ref="I27" r:id="rId23" xr:uid="{00000000-0004-0000-0A00-000016000000}"/>
    <hyperlink ref="I28" r:id="rId24" xr:uid="{00000000-0004-0000-0A00-000017000000}"/>
    <hyperlink ref="I29" r:id="rId25" xr:uid="{00000000-0004-0000-0A00-000018000000}"/>
    <hyperlink ref="I30" r:id="rId26" xr:uid="{00000000-0004-0000-0A00-000019000000}"/>
    <hyperlink ref="I31" r:id="rId27" xr:uid="{00000000-0004-0000-0A00-00001A000000}"/>
    <hyperlink ref="I32" r:id="rId28" xr:uid="{00000000-0004-0000-0A00-00001B000000}"/>
    <hyperlink ref="I33" r:id="rId29" xr:uid="{00000000-0004-0000-0A00-00001C000000}"/>
    <hyperlink ref="I34" r:id="rId30" xr:uid="{00000000-0004-0000-0A00-00001D000000}"/>
    <hyperlink ref="I35" r:id="rId31" xr:uid="{00000000-0004-0000-0A00-00001E000000}"/>
    <hyperlink ref="I36" r:id="rId32" xr:uid="{00000000-0004-0000-0A00-00001F000000}"/>
    <hyperlink ref="I37" r:id="rId33" xr:uid="{00000000-0004-0000-0A00-000020000000}"/>
    <hyperlink ref="I38" r:id="rId34" xr:uid="{00000000-0004-0000-0A00-000021000000}"/>
    <hyperlink ref="I39" r:id="rId35" xr:uid="{00000000-0004-0000-0A00-000022000000}"/>
    <hyperlink ref="I40" r:id="rId36" xr:uid="{00000000-0004-0000-0A00-000023000000}"/>
    <hyperlink ref="I41" r:id="rId37" xr:uid="{00000000-0004-0000-0A00-000024000000}"/>
    <hyperlink ref="I42" r:id="rId38" xr:uid="{00000000-0004-0000-0A00-000025000000}"/>
    <hyperlink ref="I43" r:id="rId39" xr:uid="{00000000-0004-0000-0A00-000026000000}"/>
    <hyperlink ref="I44" r:id="rId40" xr:uid="{00000000-0004-0000-0A00-000027000000}"/>
    <hyperlink ref="I45" r:id="rId41" xr:uid="{00000000-0004-0000-0A00-000028000000}"/>
    <hyperlink ref="I46" r:id="rId42" xr:uid="{00000000-0004-0000-0A00-000029000000}"/>
    <hyperlink ref="I47" r:id="rId43" xr:uid="{00000000-0004-0000-0A00-00002A000000}"/>
    <hyperlink ref="I48" r:id="rId44" xr:uid="{00000000-0004-0000-0A00-00002B000000}"/>
    <hyperlink ref="I49" r:id="rId45" xr:uid="{00000000-0004-0000-0A00-00002C000000}"/>
    <hyperlink ref="I50" r:id="rId46" xr:uid="{00000000-0004-0000-0A00-00002D000000}"/>
    <hyperlink ref="I51" r:id="rId47" xr:uid="{00000000-0004-0000-0A00-00002E000000}"/>
    <hyperlink ref="I52" r:id="rId48" xr:uid="{00000000-0004-0000-0A00-00002F000000}"/>
    <hyperlink ref="I53" r:id="rId49" xr:uid="{00000000-0004-0000-0A00-000030000000}"/>
    <hyperlink ref="I54" r:id="rId50" xr:uid="{00000000-0004-0000-0A00-000031000000}"/>
    <hyperlink ref="I55" r:id="rId51" xr:uid="{00000000-0004-0000-0A00-000032000000}"/>
    <hyperlink ref="I56" r:id="rId52" xr:uid="{00000000-0004-0000-0A00-000033000000}"/>
    <hyperlink ref="I57" r:id="rId53" xr:uid="{00000000-0004-0000-0A00-000034000000}"/>
    <hyperlink ref="I58" r:id="rId54" xr:uid="{00000000-0004-0000-0A00-000035000000}"/>
    <hyperlink ref="I59" r:id="rId55" xr:uid="{00000000-0004-0000-0A00-000036000000}"/>
    <hyperlink ref="I60" r:id="rId56" xr:uid="{00000000-0004-0000-0A00-000037000000}"/>
    <hyperlink ref="I61" r:id="rId57" xr:uid="{00000000-0004-0000-0A00-000038000000}"/>
    <hyperlink ref="I62" r:id="rId58" xr:uid="{00000000-0004-0000-0A00-000039000000}"/>
    <hyperlink ref="I63" r:id="rId59" xr:uid="{00000000-0004-0000-0A00-00003A000000}"/>
    <hyperlink ref="I64" r:id="rId60" xr:uid="{00000000-0004-0000-0A00-00003B000000}"/>
    <hyperlink ref="I65" r:id="rId61" xr:uid="{00000000-0004-0000-0A00-00003C000000}"/>
    <hyperlink ref="I66" r:id="rId62" xr:uid="{00000000-0004-0000-0A00-00003D000000}"/>
    <hyperlink ref="I67" r:id="rId63" xr:uid="{00000000-0004-0000-0A00-00003E000000}"/>
    <hyperlink ref="I68" r:id="rId64" xr:uid="{00000000-0004-0000-0A00-00003F000000}"/>
    <hyperlink ref="I69" r:id="rId65" xr:uid="{00000000-0004-0000-0A00-000040000000}"/>
    <hyperlink ref="I70" r:id="rId66" xr:uid="{00000000-0004-0000-0A00-000041000000}"/>
    <hyperlink ref="I71" r:id="rId67" xr:uid="{00000000-0004-0000-0A00-000042000000}"/>
    <hyperlink ref="I72" r:id="rId68" xr:uid="{00000000-0004-0000-0A00-000043000000}"/>
    <hyperlink ref="I73" r:id="rId69" xr:uid="{00000000-0004-0000-0A00-000044000000}"/>
    <hyperlink ref="I74" r:id="rId70" xr:uid="{00000000-0004-0000-0A00-000045000000}"/>
    <hyperlink ref="I75" r:id="rId71" xr:uid="{00000000-0004-0000-0A00-000046000000}"/>
    <hyperlink ref="I76" r:id="rId72" xr:uid="{00000000-0004-0000-0A00-000047000000}"/>
    <hyperlink ref="I77" r:id="rId73" xr:uid="{00000000-0004-0000-0A00-000048000000}"/>
    <hyperlink ref="I78" r:id="rId74" xr:uid="{00000000-0004-0000-0A00-000049000000}"/>
    <hyperlink ref="I79" r:id="rId75" xr:uid="{00000000-0004-0000-0A00-00004A000000}"/>
    <hyperlink ref="I80" r:id="rId76" xr:uid="{00000000-0004-0000-0A00-00004B000000}"/>
    <hyperlink ref="I81" r:id="rId77" xr:uid="{00000000-0004-0000-0A00-00004C000000}"/>
    <hyperlink ref="I82" r:id="rId78" xr:uid="{00000000-0004-0000-0A00-00004D000000}"/>
    <hyperlink ref="I83" r:id="rId79" xr:uid="{00000000-0004-0000-0A00-00004E000000}"/>
    <hyperlink ref="I84" r:id="rId80" xr:uid="{00000000-0004-0000-0A00-00004F000000}"/>
    <hyperlink ref="I85" r:id="rId81" xr:uid="{00000000-0004-0000-0A00-000050000000}"/>
    <hyperlink ref="I86" r:id="rId82" xr:uid="{00000000-0004-0000-0A00-000051000000}"/>
    <hyperlink ref="I87" r:id="rId83" xr:uid="{00000000-0004-0000-0A00-000052000000}"/>
    <hyperlink ref="I88" r:id="rId84" xr:uid="{00000000-0004-0000-0A00-000053000000}"/>
    <hyperlink ref="I89" r:id="rId85" xr:uid="{00000000-0004-0000-0A00-000054000000}"/>
    <hyperlink ref="I90" r:id="rId86" xr:uid="{00000000-0004-0000-0A00-000055000000}"/>
    <hyperlink ref="I91" r:id="rId87" xr:uid="{00000000-0004-0000-0A00-000056000000}"/>
    <hyperlink ref="I92" r:id="rId88" xr:uid="{00000000-0004-0000-0A00-000057000000}"/>
    <hyperlink ref="I93" r:id="rId89" xr:uid="{00000000-0004-0000-0A00-000058000000}"/>
    <hyperlink ref="I94" r:id="rId90" xr:uid="{00000000-0004-0000-0A00-000059000000}"/>
    <hyperlink ref="I95" r:id="rId91" xr:uid="{00000000-0004-0000-0A00-00005A000000}"/>
    <hyperlink ref="I96" r:id="rId92" xr:uid="{00000000-0004-0000-0A00-00005B000000}"/>
    <hyperlink ref="I97" r:id="rId93" xr:uid="{00000000-0004-0000-0A00-00005C000000}"/>
    <hyperlink ref="I98" r:id="rId94" xr:uid="{00000000-0004-0000-0A00-00005D000000}"/>
    <hyperlink ref="I99" r:id="rId95" xr:uid="{00000000-0004-0000-0A00-00005E000000}"/>
    <hyperlink ref="I100" r:id="rId96" xr:uid="{00000000-0004-0000-0A00-00005F000000}"/>
    <hyperlink ref="I101" r:id="rId97" xr:uid="{00000000-0004-0000-0A00-000060000000}"/>
    <hyperlink ref="I102" r:id="rId98" xr:uid="{00000000-0004-0000-0A00-000061000000}"/>
    <hyperlink ref="I103" r:id="rId99" xr:uid="{00000000-0004-0000-0A00-000062000000}"/>
    <hyperlink ref="I104" r:id="rId100" xr:uid="{00000000-0004-0000-0A00-000063000000}"/>
    <hyperlink ref="I105" r:id="rId101" xr:uid="{00000000-0004-0000-0A00-000064000000}"/>
    <hyperlink ref="I106" r:id="rId102" xr:uid="{00000000-0004-0000-0A00-000065000000}"/>
    <hyperlink ref="I107" r:id="rId103" xr:uid="{00000000-0004-0000-0A00-000066000000}"/>
    <hyperlink ref="I108" r:id="rId104" xr:uid="{00000000-0004-0000-0A00-000067000000}"/>
    <hyperlink ref="I109" r:id="rId105" xr:uid="{00000000-0004-0000-0A00-000068000000}"/>
    <hyperlink ref="I110" r:id="rId106" xr:uid="{00000000-0004-0000-0A00-000069000000}"/>
    <hyperlink ref="I111" r:id="rId107" xr:uid="{00000000-0004-0000-0A00-00006A000000}"/>
    <hyperlink ref="I112" r:id="rId108" xr:uid="{00000000-0004-0000-0A00-00006B000000}"/>
    <hyperlink ref="I113" r:id="rId109" xr:uid="{00000000-0004-0000-0A00-00006C000000}"/>
    <hyperlink ref="I114" r:id="rId110" xr:uid="{00000000-0004-0000-0A00-00006D000000}"/>
    <hyperlink ref="I115" r:id="rId111" xr:uid="{00000000-0004-0000-0A00-00006E000000}"/>
    <hyperlink ref="I116" r:id="rId112" xr:uid="{00000000-0004-0000-0A00-00006F000000}"/>
    <hyperlink ref="I117" r:id="rId113" xr:uid="{00000000-0004-0000-0A00-000070000000}"/>
    <hyperlink ref="I118" r:id="rId114" xr:uid="{00000000-0004-0000-0A00-000071000000}"/>
    <hyperlink ref="I119" r:id="rId115" xr:uid="{00000000-0004-0000-0A00-000072000000}"/>
    <hyperlink ref="I120" r:id="rId116" xr:uid="{00000000-0004-0000-0A00-000073000000}"/>
    <hyperlink ref="I121" r:id="rId117" xr:uid="{00000000-0004-0000-0A00-000074000000}"/>
    <hyperlink ref="I122" r:id="rId118" xr:uid="{00000000-0004-0000-0A00-000075000000}"/>
    <hyperlink ref="I123" r:id="rId119" xr:uid="{00000000-0004-0000-0A00-000076000000}"/>
    <hyperlink ref="I124" r:id="rId120" xr:uid="{00000000-0004-0000-0A00-000077000000}"/>
    <hyperlink ref="I125" r:id="rId121" xr:uid="{00000000-0004-0000-0A00-000078000000}"/>
    <hyperlink ref="I126" r:id="rId122" xr:uid="{00000000-0004-0000-0A00-000079000000}"/>
    <hyperlink ref="I127" r:id="rId123" xr:uid="{00000000-0004-0000-0A00-00007A000000}"/>
    <hyperlink ref="I128" r:id="rId124" xr:uid="{00000000-0004-0000-0A00-00007B000000}"/>
    <hyperlink ref="I129" r:id="rId125" xr:uid="{00000000-0004-0000-0A00-00007C000000}"/>
    <hyperlink ref="I130" r:id="rId126" xr:uid="{00000000-0004-0000-0A00-00007D000000}"/>
    <hyperlink ref="I131" r:id="rId127" xr:uid="{00000000-0004-0000-0A00-00007E000000}"/>
    <hyperlink ref="I132" r:id="rId128" xr:uid="{00000000-0004-0000-0A00-00007F000000}"/>
    <hyperlink ref="I133" r:id="rId129" xr:uid="{00000000-0004-0000-0A00-000080000000}"/>
    <hyperlink ref="I134" r:id="rId130" xr:uid="{00000000-0004-0000-0A00-000081000000}"/>
    <hyperlink ref="I135" r:id="rId131" xr:uid="{00000000-0004-0000-0A00-000082000000}"/>
    <hyperlink ref="I136" r:id="rId132" xr:uid="{00000000-0004-0000-0A00-000083000000}"/>
    <hyperlink ref="I137" r:id="rId133" xr:uid="{00000000-0004-0000-0A00-000084000000}"/>
    <hyperlink ref="I138" r:id="rId134" xr:uid="{00000000-0004-0000-0A00-000085000000}"/>
    <hyperlink ref="I139" r:id="rId135" xr:uid="{00000000-0004-0000-0A00-000086000000}"/>
    <hyperlink ref="I140" r:id="rId136" xr:uid="{00000000-0004-0000-0A00-000087000000}"/>
    <hyperlink ref="I141" r:id="rId137" xr:uid="{00000000-0004-0000-0A00-000088000000}"/>
    <hyperlink ref="I142" r:id="rId138" xr:uid="{00000000-0004-0000-0A00-000089000000}"/>
    <hyperlink ref="I143" r:id="rId139" xr:uid="{00000000-0004-0000-0A00-00008A000000}"/>
    <hyperlink ref="I144" r:id="rId140" xr:uid="{00000000-0004-0000-0A00-00008B000000}"/>
    <hyperlink ref="I145" r:id="rId141" xr:uid="{00000000-0004-0000-0A00-00008C000000}"/>
    <hyperlink ref="I146" r:id="rId142" xr:uid="{00000000-0004-0000-0A00-00008D000000}"/>
    <hyperlink ref="I147" r:id="rId143" xr:uid="{00000000-0004-0000-0A00-00008E000000}"/>
    <hyperlink ref="I148" r:id="rId144" xr:uid="{00000000-0004-0000-0A00-00008F000000}"/>
    <hyperlink ref="I149" r:id="rId145" xr:uid="{00000000-0004-0000-0A00-000090000000}"/>
    <hyperlink ref="I150" r:id="rId146" xr:uid="{00000000-0004-0000-0A00-000091000000}"/>
    <hyperlink ref="I151" r:id="rId147" xr:uid="{00000000-0004-0000-0A00-000092000000}"/>
    <hyperlink ref="I152" r:id="rId148" xr:uid="{00000000-0004-0000-0A00-000093000000}"/>
    <hyperlink ref="I153" r:id="rId149" xr:uid="{00000000-0004-0000-0A00-000094000000}"/>
    <hyperlink ref="I154" r:id="rId150" xr:uid="{00000000-0004-0000-0A00-000095000000}"/>
    <hyperlink ref="I155" r:id="rId151" xr:uid="{00000000-0004-0000-0A00-000096000000}"/>
    <hyperlink ref="I156" r:id="rId152" xr:uid="{00000000-0004-0000-0A00-000097000000}"/>
    <hyperlink ref="I157" r:id="rId153" xr:uid="{00000000-0004-0000-0A00-000098000000}"/>
    <hyperlink ref="I158" r:id="rId154" xr:uid="{00000000-0004-0000-0A00-000099000000}"/>
    <hyperlink ref="I159" r:id="rId155" xr:uid="{00000000-0004-0000-0A00-00009A000000}"/>
    <hyperlink ref="I160" r:id="rId156" xr:uid="{00000000-0004-0000-0A00-00009B000000}"/>
    <hyperlink ref="I161" r:id="rId157" xr:uid="{00000000-0004-0000-0A00-00009C000000}"/>
    <hyperlink ref="I162" r:id="rId158" xr:uid="{00000000-0004-0000-0A00-00009D000000}"/>
    <hyperlink ref="I163" r:id="rId159" xr:uid="{00000000-0004-0000-0A00-00009E000000}"/>
    <hyperlink ref="I164" r:id="rId160" xr:uid="{00000000-0004-0000-0A00-00009F000000}"/>
    <hyperlink ref="I165" r:id="rId161" xr:uid="{00000000-0004-0000-0A00-0000A0000000}"/>
    <hyperlink ref="I166" r:id="rId162" xr:uid="{00000000-0004-0000-0A00-0000A1000000}"/>
    <hyperlink ref="I167" r:id="rId163" xr:uid="{00000000-0004-0000-0A00-0000A2000000}"/>
    <hyperlink ref="I168" r:id="rId164" xr:uid="{00000000-0004-0000-0A00-0000A3000000}"/>
    <hyperlink ref="I169" r:id="rId165" xr:uid="{00000000-0004-0000-0A00-0000A4000000}"/>
    <hyperlink ref="I170" r:id="rId166" xr:uid="{00000000-0004-0000-0A00-0000A5000000}"/>
    <hyperlink ref="I171" r:id="rId167" xr:uid="{00000000-0004-0000-0A00-0000A6000000}"/>
    <hyperlink ref="I172" r:id="rId168" xr:uid="{00000000-0004-0000-0A00-0000A7000000}"/>
    <hyperlink ref="I173" r:id="rId169" xr:uid="{00000000-0004-0000-0A00-0000A8000000}"/>
    <hyperlink ref="I174" r:id="rId170" xr:uid="{00000000-0004-0000-0A00-0000A9000000}"/>
    <hyperlink ref="I175" r:id="rId171" xr:uid="{00000000-0004-0000-0A00-0000AA000000}"/>
    <hyperlink ref="I176" r:id="rId172" xr:uid="{00000000-0004-0000-0A00-0000AB000000}"/>
    <hyperlink ref="I177" r:id="rId173" xr:uid="{00000000-0004-0000-0A00-0000AC000000}"/>
    <hyperlink ref="I178" r:id="rId174" xr:uid="{00000000-0004-0000-0A00-0000AD000000}"/>
    <hyperlink ref="I179" r:id="rId175" xr:uid="{00000000-0004-0000-0A00-0000AE000000}"/>
    <hyperlink ref="I180" r:id="rId176" xr:uid="{00000000-0004-0000-0A00-0000AF000000}"/>
    <hyperlink ref="I181" r:id="rId177" xr:uid="{00000000-0004-0000-0A00-0000B0000000}"/>
    <hyperlink ref="I182" r:id="rId178" xr:uid="{00000000-0004-0000-0A00-0000B1000000}"/>
    <hyperlink ref="I183" r:id="rId179" xr:uid="{00000000-0004-0000-0A00-0000B2000000}"/>
    <hyperlink ref="I184" r:id="rId180" xr:uid="{00000000-0004-0000-0A00-0000B3000000}"/>
    <hyperlink ref="I185" r:id="rId181" xr:uid="{00000000-0004-0000-0A00-0000B4000000}"/>
    <hyperlink ref="I186" r:id="rId182" xr:uid="{00000000-0004-0000-0A00-0000B5000000}"/>
    <hyperlink ref="I187" r:id="rId183" xr:uid="{00000000-0004-0000-0A00-0000B6000000}"/>
    <hyperlink ref="I188" r:id="rId184" xr:uid="{00000000-0004-0000-0A00-0000B7000000}"/>
    <hyperlink ref="I189" r:id="rId185" xr:uid="{00000000-0004-0000-0A00-0000B8000000}"/>
    <hyperlink ref="I190" r:id="rId186" xr:uid="{00000000-0004-0000-0A00-0000B9000000}"/>
    <hyperlink ref="I191" r:id="rId187" xr:uid="{00000000-0004-0000-0A00-0000BA000000}"/>
    <hyperlink ref="I192" r:id="rId188" xr:uid="{00000000-0004-0000-0A00-0000BB000000}"/>
    <hyperlink ref="I193" r:id="rId189" xr:uid="{00000000-0004-0000-0A00-0000BC000000}"/>
    <hyperlink ref="I194" r:id="rId190" xr:uid="{00000000-0004-0000-0A00-0000BD000000}"/>
    <hyperlink ref="I195" r:id="rId191" xr:uid="{00000000-0004-0000-0A00-0000BE000000}"/>
    <hyperlink ref="I196" r:id="rId192" xr:uid="{00000000-0004-0000-0A00-0000BF000000}"/>
    <hyperlink ref="I197" r:id="rId193" xr:uid="{00000000-0004-0000-0A00-0000C0000000}"/>
    <hyperlink ref="I198" r:id="rId194" xr:uid="{00000000-0004-0000-0A00-0000C1000000}"/>
    <hyperlink ref="I199" r:id="rId195" xr:uid="{00000000-0004-0000-0A00-0000C2000000}"/>
    <hyperlink ref="I200" r:id="rId196" xr:uid="{00000000-0004-0000-0A00-0000C3000000}"/>
    <hyperlink ref="I201" r:id="rId197" xr:uid="{00000000-0004-0000-0A00-0000C4000000}"/>
    <hyperlink ref="I202" r:id="rId198" xr:uid="{00000000-0004-0000-0A00-0000C5000000}"/>
    <hyperlink ref="I203" r:id="rId199" xr:uid="{00000000-0004-0000-0A00-0000C6000000}"/>
    <hyperlink ref="I204" r:id="rId200" xr:uid="{00000000-0004-0000-0A00-0000C7000000}"/>
    <hyperlink ref="I205" r:id="rId201" xr:uid="{00000000-0004-0000-0A00-0000C8000000}"/>
    <hyperlink ref="I206" r:id="rId202" xr:uid="{00000000-0004-0000-0A00-0000C9000000}"/>
    <hyperlink ref="I207" r:id="rId203" xr:uid="{00000000-0004-0000-0A00-0000CA000000}"/>
    <hyperlink ref="I208" r:id="rId204" xr:uid="{00000000-0004-0000-0A00-0000CB000000}"/>
    <hyperlink ref="I209" r:id="rId205" xr:uid="{00000000-0004-0000-0A00-0000CC000000}"/>
    <hyperlink ref="I210" r:id="rId206" xr:uid="{00000000-0004-0000-0A00-0000CD000000}"/>
    <hyperlink ref="I211" r:id="rId207" xr:uid="{00000000-0004-0000-0A00-0000CE000000}"/>
    <hyperlink ref="I212" r:id="rId208" xr:uid="{00000000-0004-0000-0A00-0000CF000000}"/>
    <hyperlink ref="I213" r:id="rId209" xr:uid="{00000000-0004-0000-0A00-0000D0000000}"/>
    <hyperlink ref="I214" r:id="rId210" xr:uid="{00000000-0004-0000-0A00-0000D1000000}"/>
    <hyperlink ref="I215" r:id="rId211" xr:uid="{00000000-0004-0000-0A00-0000D2000000}"/>
    <hyperlink ref="I216" r:id="rId212" xr:uid="{00000000-0004-0000-0A00-0000D3000000}"/>
    <hyperlink ref="I217" r:id="rId213" xr:uid="{00000000-0004-0000-0A00-0000D4000000}"/>
    <hyperlink ref="I218" r:id="rId214" xr:uid="{00000000-0004-0000-0A00-0000D5000000}"/>
    <hyperlink ref="I219" r:id="rId215" xr:uid="{00000000-0004-0000-0A00-0000D6000000}"/>
    <hyperlink ref="I220" r:id="rId216" xr:uid="{00000000-0004-0000-0A00-0000D7000000}"/>
    <hyperlink ref="I221" r:id="rId217" xr:uid="{00000000-0004-0000-0A00-0000D8000000}"/>
    <hyperlink ref="I222" r:id="rId218" xr:uid="{00000000-0004-0000-0A00-0000D9000000}"/>
    <hyperlink ref="I223" r:id="rId219" xr:uid="{00000000-0004-0000-0A00-0000DA000000}"/>
    <hyperlink ref="I224" r:id="rId220" xr:uid="{00000000-0004-0000-0A00-0000DB000000}"/>
    <hyperlink ref="I225" r:id="rId221" xr:uid="{00000000-0004-0000-0A00-0000DC000000}"/>
    <hyperlink ref="I226" r:id="rId222" xr:uid="{00000000-0004-0000-0A00-0000DD000000}"/>
    <hyperlink ref="I227" r:id="rId223" xr:uid="{00000000-0004-0000-0A00-0000DE000000}"/>
    <hyperlink ref="I228" r:id="rId224" xr:uid="{00000000-0004-0000-0A00-0000DF000000}"/>
    <hyperlink ref="I229" r:id="rId225" xr:uid="{00000000-0004-0000-0A00-0000E0000000}"/>
    <hyperlink ref="I230" r:id="rId226" xr:uid="{00000000-0004-0000-0A00-0000E1000000}"/>
    <hyperlink ref="I231" r:id="rId227" xr:uid="{00000000-0004-0000-0A00-0000E2000000}"/>
    <hyperlink ref="I232" r:id="rId228" xr:uid="{00000000-0004-0000-0A00-0000E3000000}"/>
    <hyperlink ref="I233" r:id="rId229" xr:uid="{00000000-0004-0000-0A00-0000E4000000}"/>
    <hyperlink ref="I234" r:id="rId230" xr:uid="{00000000-0004-0000-0A00-0000E5000000}"/>
    <hyperlink ref="I235" r:id="rId231" xr:uid="{00000000-0004-0000-0A00-0000E6000000}"/>
    <hyperlink ref="I236" r:id="rId232" xr:uid="{00000000-0004-0000-0A00-0000E7000000}"/>
    <hyperlink ref="I237" r:id="rId233" xr:uid="{00000000-0004-0000-0A00-0000E8000000}"/>
    <hyperlink ref="I238" r:id="rId234" xr:uid="{00000000-0004-0000-0A00-0000E9000000}"/>
    <hyperlink ref="I239" r:id="rId235" xr:uid="{00000000-0004-0000-0A00-0000EA000000}"/>
    <hyperlink ref="I240" r:id="rId236" xr:uid="{00000000-0004-0000-0A00-0000EB000000}"/>
    <hyperlink ref="I241" r:id="rId237" xr:uid="{00000000-0004-0000-0A00-0000EC000000}"/>
    <hyperlink ref="I242" r:id="rId238" xr:uid="{00000000-0004-0000-0A00-0000ED000000}"/>
    <hyperlink ref="I243" r:id="rId239" xr:uid="{00000000-0004-0000-0A00-0000EE000000}"/>
    <hyperlink ref="I244" r:id="rId240" xr:uid="{00000000-0004-0000-0A00-0000EF000000}"/>
    <hyperlink ref="I245" r:id="rId241" xr:uid="{00000000-0004-0000-0A00-0000F0000000}"/>
    <hyperlink ref="I246" r:id="rId242" xr:uid="{00000000-0004-0000-0A00-0000F1000000}"/>
    <hyperlink ref="I247" r:id="rId243" xr:uid="{00000000-0004-0000-0A00-0000F2000000}"/>
    <hyperlink ref="I248" r:id="rId244" xr:uid="{00000000-0004-0000-0A00-0000F3000000}"/>
    <hyperlink ref="I249" r:id="rId245" xr:uid="{00000000-0004-0000-0A00-0000F4000000}"/>
    <hyperlink ref="I250" r:id="rId246" xr:uid="{00000000-0004-0000-0A00-0000F5000000}"/>
    <hyperlink ref="I251" r:id="rId247" xr:uid="{00000000-0004-0000-0A00-0000F6000000}"/>
    <hyperlink ref="I252" r:id="rId248" xr:uid="{00000000-0004-0000-0A00-0000F7000000}"/>
    <hyperlink ref="I253" r:id="rId249" xr:uid="{00000000-0004-0000-0A00-0000F8000000}"/>
    <hyperlink ref="I254" r:id="rId250" xr:uid="{00000000-0004-0000-0A00-0000F9000000}"/>
    <hyperlink ref="I255" r:id="rId251" xr:uid="{00000000-0004-0000-0A00-0000FA000000}"/>
    <hyperlink ref="I256" r:id="rId252" xr:uid="{00000000-0004-0000-0A00-0000FB000000}"/>
    <hyperlink ref="I257" r:id="rId253" xr:uid="{00000000-0004-0000-0A00-0000FC000000}"/>
    <hyperlink ref="I258" r:id="rId254" xr:uid="{00000000-0004-0000-0A00-0000FD000000}"/>
    <hyperlink ref="I259" r:id="rId255" xr:uid="{00000000-0004-0000-0A00-0000FE000000}"/>
    <hyperlink ref="I260" r:id="rId256" xr:uid="{00000000-0004-0000-0A00-0000FF000000}"/>
    <hyperlink ref="I261" r:id="rId257" xr:uid="{00000000-0004-0000-0A00-000000010000}"/>
    <hyperlink ref="I262" r:id="rId258" xr:uid="{00000000-0004-0000-0A00-000001010000}"/>
    <hyperlink ref="I263" r:id="rId259" xr:uid="{00000000-0004-0000-0A00-000002010000}"/>
    <hyperlink ref="I264" r:id="rId260" xr:uid="{00000000-0004-0000-0A00-000003010000}"/>
    <hyperlink ref="I265" r:id="rId261" xr:uid="{00000000-0004-0000-0A00-000004010000}"/>
    <hyperlink ref="I266" r:id="rId262" xr:uid="{00000000-0004-0000-0A00-000005010000}"/>
    <hyperlink ref="I267" r:id="rId263" xr:uid="{00000000-0004-0000-0A00-000006010000}"/>
    <hyperlink ref="I268" r:id="rId264" xr:uid="{00000000-0004-0000-0A00-000007010000}"/>
    <hyperlink ref="I269" r:id="rId265" xr:uid="{00000000-0004-0000-0A00-000008010000}"/>
    <hyperlink ref="I270" r:id="rId266" xr:uid="{00000000-0004-0000-0A00-000009010000}"/>
    <hyperlink ref="I271" r:id="rId267" xr:uid="{00000000-0004-0000-0A00-00000A010000}"/>
    <hyperlink ref="I272" r:id="rId268" xr:uid="{00000000-0004-0000-0A00-00000B010000}"/>
    <hyperlink ref="I273" r:id="rId269" xr:uid="{00000000-0004-0000-0A00-00000C010000}"/>
    <hyperlink ref="I274" r:id="rId270" xr:uid="{00000000-0004-0000-0A00-00000D010000}"/>
    <hyperlink ref="I275" r:id="rId271" xr:uid="{00000000-0004-0000-0A00-00000E010000}"/>
    <hyperlink ref="I276" r:id="rId272" xr:uid="{00000000-0004-0000-0A00-00000F010000}"/>
    <hyperlink ref="I277" r:id="rId273" xr:uid="{00000000-0004-0000-0A00-000010010000}"/>
    <hyperlink ref="I278" r:id="rId274" xr:uid="{00000000-0004-0000-0A00-000011010000}"/>
    <hyperlink ref="I279" r:id="rId275" xr:uid="{00000000-0004-0000-0A00-000012010000}"/>
    <hyperlink ref="I280" r:id="rId276" xr:uid="{00000000-0004-0000-0A00-000013010000}"/>
    <hyperlink ref="I281" r:id="rId277" xr:uid="{00000000-0004-0000-0A00-000014010000}"/>
    <hyperlink ref="I282" r:id="rId278" xr:uid="{00000000-0004-0000-0A00-000015010000}"/>
    <hyperlink ref="I283" r:id="rId279" xr:uid="{00000000-0004-0000-0A00-000016010000}"/>
    <hyperlink ref="I284" r:id="rId280" xr:uid="{00000000-0004-0000-0A00-000017010000}"/>
    <hyperlink ref="I285" r:id="rId281" xr:uid="{00000000-0004-0000-0A00-000018010000}"/>
    <hyperlink ref="I286" r:id="rId282" xr:uid="{00000000-0004-0000-0A00-000019010000}"/>
    <hyperlink ref="I287" r:id="rId283" xr:uid="{00000000-0004-0000-0A00-00001A010000}"/>
    <hyperlink ref="I288" r:id="rId284" xr:uid="{00000000-0004-0000-0A00-00001B010000}"/>
    <hyperlink ref="I289" r:id="rId285" xr:uid="{00000000-0004-0000-0A00-00001C010000}"/>
    <hyperlink ref="I290" r:id="rId286" xr:uid="{00000000-0004-0000-0A00-00001D010000}"/>
    <hyperlink ref="I291" r:id="rId287" xr:uid="{00000000-0004-0000-0A00-00001E010000}"/>
    <hyperlink ref="I292" r:id="rId288" xr:uid="{00000000-0004-0000-0A00-00001F010000}"/>
    <hyperlink ref="I293" r:id="rId289" xr:uid="{00000000-0004-0000-0A00-000020010000}"/>
    <hyperlink ref="I294" r:id="rId290" xr:uid="{00000000-0004-0000-0A00-000021010000}"/>
    <hyperlink ref="I295" r:id="rId291" xr:uid="{00000000-0004-0000-0A00-000022010000}"/>
    <hyperlink ref="I296" r:id="rId292" xr:uid="{00000000-0004-0000-0A00-000023010000}"/>
    <hyperlink ref="I297" r:id="rId293" xr:uid="{00000000-0004-0000-0A00-000024010000}"/>
    <hyperlink ref="I298" r:id="rId294" xr:uid="{00000000-0004-0000-0A00-000025010000}"/>
    <hyperlink ref="I299" r:id="rId295" xr:uid="{00000000-0004-0000-0A00-000026010000}"/>
  </hyperlinks>
  <pageMargins left="0.25" right="0.25" top="0.4" bottom="0.4" header="0.5" footer="0.5"/>
  <pageSetup orientation="landscape"/>
  <headerFooter>
    <oddHeader>&amp;C&amp;BSources</oddHeader>
    <oddFooter>&amp;LOkinawa NGO / Civic Organization Database&amp;CEnglish presentation edition&amp;RPage &amp;P of &amp;N</oddFooter>
  </headerFooter>
  <tableParts count="1">
    <tablePart r:id="rId29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21</vt:i4>
      </vt:variant>
    </vt:vector>
  </HeadingPairs>
  <TitlesOfParts>
    <vt:vector size="32" baseType="lpstr">
      <vt:lpstr>Overview</vt:lpstr>
      <vt:lpstr>Actors</vt:lpstr>
      <vt:lpstr>Issues</vt:lpstr>
      <vt:lpstr>Places</vt:lpstr>
      <vt:lpstr>Actor-Issue</vt:lpstr>
      <vt:lpstr>Actor-Place</vt:lpstr>
      <vt:lpstr>Events</vt:lpstr>
      <vt:lpstr>Typed Relations</vt:lpstr>
      <vt:lpstr>Legal Cases</vt:lpstr>
      <vt:lpstr>Legal Roles</vt:lpstr>
      <vt:lpstr>Sources</vt:lpstr>
      <vt:lpstr>'Actor-Issue'!Print_Area</vt:lpstr>
      <vt:lpstr>'Actor-Place'!Print_Area</vt:lpstr>
      <vt:lpstr>Actors!Print_Area</vt:lpstr>
      <vt:lpstr>Events!Print_Area</vt:lpstr>
      <vt:lpstr>Issues!Print_Area</vt:lpstr>
      <vt:lpstr>'Legal Cases'!Print_Area</vt:lpstr>
      <vt:lpstr>'Legal Roles'!Print_Area</vt:lpstr>
      <vt:lpstr>Overview!Print_Area</vt:lpstr>
      <vt:lpstr>Places!Print_Area</vt:lpstr>
      <vt:lpstr>Sources!Print_Area</vt:lpstr>
      <vt:lpstr>'Typed Relations'!Print_Area</vt:lpstr>
      <vt:lpstr>'Actor-Issue'!Print_Titles</vt:lpstr>
      <vt:lpstr>'Actor-Place'!Print_Titles</vt:lpstr>
      <vt:lpstr>Actors!Print_Titles</vt:lpstr>
      <vt:lpstr>Events!Print_Titles</vt:lpstr>
      <vt:lpstr>Issues!Print_Titles</vt:lpstr>
      <vt:lpstr>'Legal Cases'!Print_Titles</vt:lpstr>
      <vt:lpstr>'Legal Roles'!Print_Titles</vt:lpstr>
      <vt:lpstr>Places!Print_Titles</vt:lpstr>
      <vt:lpstr>Sources!Print_Titles</vt:lpstr>
      <vt:lpstr>'Typed Relations'!Print_Titles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萌辰 张</cp:lastModifiedBy>
  <dcterms:created xsi:type="dcterms:W3CDTF">2026-07-29T18:40:46Z</dcterms:created>
  <dcterms:modified xsi:type="dcterms:W3CDTF">2026-07-29T18:41:53Z</dcterms:modified>
</cp:coreProperties>
</file>